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 Page" sheetId="1" state="visible" r:id="rId3"/>
    <sheet name="Risk Register" sheetId="2" state="visible" r:id="rId4"/>
    <sheet name="Risk Scoring Matrix" sheetId="3" state="visible" r:id="rId5"/>
    <sheet name="ISO 27001 Mapping" sheetId="4" state="visible" r:id="rId6"/>
    <sheet name="Dashboard" sheetId="5" state="visible" r:id="rId7"/>
    <sheet name="Glossary" sheetId="6" state="visible" r:id="rId8"/>
  </sheets>
  <definedNames>
    <definedName function="false" hidden="true" localSheetId="5" name="_xlnm._FilterDatabase" vbProcedure="false">Glossary!$A$1:$B$14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<sst xmlns="http://schemas.openxmlformats.org/spreadsheetml/2006/main" count="385" uniqueCount="264">
  <si>
    <t xml:space="preserve">THIRD-PARTY VENDOR RISK ASSESSMENT</t>
  </si>
  <si>
    <t xml:space="preserve">Simulation Project | GRC Analyst Portfolio</t>
  </si>
  <si>
    <t xml:space="preserve">Vendor Name:</t>
  </si>
  <si>
    <t xml:space="preserve">CloudSecure SaaS Pvt. Ltd.</t>
  </si>
  <si>
    <t xml:space="preserve">Assessment Type:</t>
  </si>
  <si>
    <t xml:space="preserve">Third-Party Vendor Risk Assessment</t>
  </si>
  <si>
    <t xml:space="preserve">Assessment Date:</t>
  </si>
  <si>
    <t xml:space="preserve">May 2026</t>
  </si>
  <si>
    <t xml:space="preserve">Assessed By:</t>
  </si>
  <si>
    <t xml:space="preserve">GRC Analyst (Fresher)</t>
  </si>
  <si>
    <t xml:space="preserve">Framework Applied:</t>
  </si>
  <si>
    <t xml:space="preserve">ISO/IEC 27001:2022</t>
  </si>
  <si>
    <t xml:space="preserve">Risk Rating Model:</t>
  </si>
  <si>
    <t xml:space="preserve">Likelihood × Impact Matrix (1–5 Scale)</t>
  </si>
  <si>
    <t xml:space="preserve">Classification:</t>
  </si>
  <si>
    <t xml:space="preserve">CONFIDENTIAL</t>
  </si>
  <si>
    <t xml:space="preserve">Version:</t>
  </si>
  <si>
    <t xml:space="preserve">v1.0 – Initial Release</t>
  </si>
  <si>
    <t xml:space="preserve">EXECUTIVE SUMMARY</t>
  </si>
  <si>
    <t xml:space="preserve">This report documents a simulated Third-Party Vendor Risk Assessment conducted on CloudSecure SaaS Pvt. Ltd., a hypothetical SaaS provider handling sensitive customer and organizational data. The assessment identifies 12 risks across five domains: Access Control, Data Security, Compliance, Business Continuity, and Contractual/Legal. Risks are scored using a 5×5 Likelihood × Impact matrix and mapped to ISO/IEC 27001:2022 control domains. Mitigation strategies are recommended for each risk based on severity. 3 risks are rated Critical, 4 High, 4 Medium, and 1 Low.</t>
  </si>
  <si>
    <t xml:space="preserve">Prepared as a GRC Portfolio Project  |  ISO 27001 Framework  |  Confidential – Internal Use Only</t>
  </si>
  <si>
    <t xml:space="preserve">VENDOR RISK REGISTER — CloudSecure SaaS Pvt. Ltd.</t>
  </si>
  <si>
    <t xml:space="preserve">Assessment Framework: ISO/IEC 27001:2022  |  Risk Model: Likelihood × Impact (1–5)  |  Date: May 2026</t>
  </si>
  <si>
    <t xml:space="preserve">Risk ID</t>
  </si>
  <si>
    <t xml:space="preserve">Domain</t>
  </si>
  <si>
    <t xml:space="preserve">Risk Title</t>
  </si>
  <si>
    <t xml:space="preserve">Risk Description</t>
  </si>
  <si>
    <t xml:space="preserve">Potential Impact</t>
  </si>
  <si>
    <t xml:space="preserve">Likelihood
(1–5)</t>
  </si>
  <si>
    <t xml:space="preserve">Impact
(1–5)</t>
  </si>
  <si>
    <t xml:space="preserve">Risk Score
(L×I)</t>
  </si>
  <si>
    <t xml:space="preserve">Risk Level</t>
  </si>
  <si>
    <t xml:space="preserve">ISO 27001
Control Domain</t>
  </si>
  <si>
    <t xml:space="preserve">Recommended Mitigation</t>
  </si>
  <si>
    <t xml:space="preserve">Risk Owner</t>
  </si>
  <si>
    <t xml:space="preserve">R-01</t>
  </si>
  <si>
    <t xml:space="preserve">Access Control</t>
  </si>
  <si>
    <t xml:space="preserve">Weak MFA Enforcement</t>
  </si>
  <si>
    <t xml:space="preserve">Vendor does not enforce Multi-Factor Authentication for all privileged admin accounts, increasing risk of unauthorized system access.</t>
  </si>
  <si>
    <t xml:space="preserve">Unauthorized access to sensitive customer data; account takeover leading to data breach.</t>
  </si>
  <si>
    <t xml:space="preserve">Critical</t>
  </si>
  <si>
    <t xml:space="preserve">A.8.2 – Privileged Access Rights</t>
  </si>
  <si>
    <t xml:space="preserve">Mandate MFA for all admin and privileged accounts. Review access logs monthly. Include MFA requirement in contractual SLA.</t>
  </si>
  <si>
    <t xml:space="preserve">IT Security Lead</t>
  </si>
  <si>
    <t xml:space="preserve">R-02</t>
  </si>
  <si>
    <t xml:space="preserve">Excessive User Privileges (Least Privilege Violation)</t>
  </si>
  <si>
    <t xml:space="preserve">End users and support staff have broader access rights than required for their role, violating least privilege principles.</t>
  </si>
  <si>
    <t xml:space="preserve">Insider threat risk; accidental or deliberate data exposure or modification.</t>
  </si>
  <si>
    <t xml:space="preserve">High</t>
  </si>
  <si>
    <t xml:space="preserve">Implement Role-Based Access Control (RBAC). Conduct quarterly access reviews. Remove dormant accounts within 30 days.</t>
  </si>
  <si>
    <t xml:space="preserve">Vendor IT Admin</t>
  </si>
  <si>
    <t xml:space="preserve">R-03</t>
  </si>
  <si>
    <t xml:space="preserve">No Formal Offboarding Process</t>
  </si>
  <si>
    <t xml:space="preserve">Vendor lacks a documented process to revoke access for terminated employees promptly, leaving orphaned accounts active.</t>
  </si>
  <si>
    <t xml:space="preserve">Former employees retain access; risk of malicious insider actions or credential misuse.</t>
  </si>
  <si>
    <t xml:space="preserve">A.5.18 – Access Rights</t>
  </si>
  <si>
    <t xml:space="preserve">Define and enforce a 24-hour offboarding SLA for access revocation. Automate account deactivation via IAM integration.</t>
  </si>
  <si>
    <t xml:space="preserve">HR &amp; IT Ops</t>
  </si>
  <si>
    <t xml:space="preserve">R-04</t>
  </si>
  <si>
    <t xml:space="preserve">Data Security</t>
  </si>
  <si>
    <t xml:space="preserve">Unencrypted Data at Rest</t>
  </si>
  <si>
    <t xml:space="preserve">Sensitive customer PII and financial records are stored without AES-256 encryption in certain database segments.</t>
  </si>
  <si>
    <t xml:space="preserve">Direct exposure of sensitive data in case of physical breach or unauthorized DB access.</t>
  </si>
  <si>
    <t xml:space="preserve">A.8.24 – Use of Cryptography</t>
  </si>
  <si>
    <t xml:space="preserve">Enforce AES-256 encryption for all data at rest. Conduct encryption compliance audit within 60 days. Update data classification policy.</t>
  </si>
  <si>
    <t xml:space="preserve">Cloud Infrastructure Team</t>
  </si>
  <si>
    <t xml:space="preserve">R-05</t>
  </si>
  <si>
    <t xml:space="preserve">Insufficient Data Masking in Non-Prod Environments</t>
  </si>
  <si>
    <t xml:space="preserve">Production data containing real PII is used in development and testing environments without proper masking.</t>
  </si>
  <si>
    <t xml:space="preserve">Developer or tester inadvertent exposure of customer data; compliance violation (GDPR/PDPA).</t>
  </si>
  <si>
    <t xml:space="preserve">A.8.33 – Test Information</t>
  </si>
  <si>
    <t xml:space="preserve">Implement data masking/anonymization tools before using production data in non-prod. Restrict non-prod environment access.</t>
  </si>
  <si>
    <t xml:space="preserve">Development Manager</t>
  </si>
  <si>
    <t xml:space="preserve">R-06</t>
  </si>
  <si>
    <t xml:space="preserve">Inadequate Backup &amp; Recovery Testing</t>
  </si>
  <si>
    <t xml:space="preserve">Vendor performs weekly backups but has not tested data restoration procedures in the past 12 months.</t>
  </si>
  <si>
    <t xml:space="preserve">Data loss during incident; prolonged downtime if backup restoration fails during a disaster.</t>
  </si>
  <si>
    <t xml:space="preserve">A.8.13 – Information Backup</t>
  </si>
  <si>
    <t xml:space="preserve">Mandate quarterly backup restoration drills. Document RTO/RPO targets in contract. Review test results in quarterly reviews.</t>
  </si>
  <si>
    <t xml:space="preserve">Operations Manager</t>
  </si>
  <si>
    <t xml:space="preserve">R-07</t>
  </si>
  <si>
    <t xml:space="preserve">Compliance</t>
  </si>
  <si>
    <t xml:space="preserve">Absence of SOC 2 Type II Certification</t>
  </si>
  <si>
    <t xml:space="preserve">Vendor has SOC 2 Type I only. No Type II report confirming operating effectiveness of controls over time.</t>
  </si>
  <si>
    <t xml:space="preserve">Inability to demonstrate control effectiveness; audit findings; regulatory non-compliance.</t>
  </si>
  <si>
    <t xml:space="preserve">A.5.36 – Compliance with Policies</t>
  </si>
  <si>
    <t xml:space="preserve">Require vendor to obtain SOC 2 Type II within 12 months. Include as contractual obligation with milestone checkpoints.</t>
  </si>
  <si>
    <t xml:space="preserve">GRC / Compliance Team</t>
  </si>
  <si>
    <t xml:space="preserve">R-08</t>
  </si>
  <si>
    <t xml:space="preserve">No Formal Data Retention &amp; Deletion Policy</t>
  </si>
  <si>
    <t xml:space="preserve">Vendor retains customer data indefinitely with no documented retention schedule or secure deletion process.</t>
  </si>
  <si>
    <t xml:space="preserve">Regulatory non-compliance (GDPR Art. 5, PDPA); legal liability; reputational damage.</t>
  </si>
  <si>
    <t xml:space="preserve">A.8.10 – Information Deletion</t>
  </si>
  <si>
    <t xml:space="preserve">Require vendor to implement a documented retention policy aligned to GDPR. Verify deletion process quarterly. Add to DPA.</t>
  </si>
  <si>
    <t xml:space="preserve">Legal &amp; Compliance</t>
  </si>
  <si>
    <t xml:space="preserve">R-09</t>
  </si>
  <si>
    <t xml:space="preserve">Business Continuity</t>
  </si>
  <si>
    <t xml:space="preserve">No Tested Disaster Recovery Plan</t>
  </si>
  <si>
    <t xml:space="preserve">Vendor has a documented BCP/DRP but has not conducted a live or tabletop DR exercise in over 18 months.</t>
  </si>
  <si>
    <t xml:space="preserve">Extended service outage during a disaster; breach of SLA uptime commitments; financial loss.</t>
  </si>
  <si>
    <t xml:space="preserve">A.5.29 – Information Security During Disruption</t>
  </si>
  <si>
    <t xml:space="preserve">Require annual DR test with results shared with your organization. Define RTO/RPO in SLA. Include BCP audit rights.</t>
  </si>
  <si>
    <t xml:space="preserve">Business Continuity Lead</t>
  </si>
  <si>
    <t xml:space="preserve">R-10</t>
  </si>
  <si>
    <t xml:space="preserve">Single Cloud Region Dependency</t>
  </si>
  <si>
    <t xml:space="preserve">Vendor infrastructure is hosted in a single cloud region with no active failover to a secondary region.</t>
  </si>
  <si>
    <t xml:space="preserve">Complete service unavailability during regional outage; SLA breach; operational disruption.</t>
  </si>
  <si>
    <t xml:space="preserve">Medium</t>
  </si>
  <si>
    <t xml:space="preserve">A.8.14 – Redundancy of IT</t>
  </si>
  <si>
    <t xml:space="preserve">Negotiate multi-region or active-passive failover architecture. Validate cloud architecture design before renewal.</t>
  </si>
  <si>
    <t xml:space="preserve">Cloud Architect</t>
  </si>
  <si>
    <t xml:space="preserve">R-11</t>
  </si>
  <si>
    <t xml:space="preserve">Contractual / Legal</t>
  </si>
  <si>
    <t xml:space="preserve">Ambiguous Data Processing Agreement (DPA)</t>
  </si>
  <si>
    <t xml:space="preserve">Current DPA does not clearly define data sub-processors, their locations, or obligations under GDPR Article 28.</t>
  </si>
  <si>
    <t xml:space="preserve">Regulatory penalty; inability to demonstrate GDPR compliance; legal disputes on liability.</t>
  </si>
  <si>
    <t xml:space="preserve">A.5.19 – IS in Supplier Relationships</t>
  </si>
  <si>
    <t xml:space="preserve">Renegotiate DPA to include sub-processor list, transfer mechanisms (SCCs), and audit rights. Legal review mandatory.</t>
  </si>
  <si>
    <t xml:space="preserve">Legal Counsel</t>
  </si>
  <si>
    <t xml:space="preserve">R-12</t>
  </si>
  <si>
    <t xml:space="preserve">No Right-to-Audit Clause in Contract</t>
  </si>
  <si>
    <t xml:space="preserve">Existing vendor contract does not grant the right to conduct independent security audits or review security reports.</t>
  </si>
  <si>
    <t xml:space="preserve">Inability to independently verify vendor security posture; blind trust reliance on vendor self-attestation.</t>
  </si>
  <si>
    <t xml:space="preserve">A.5.20 – Addressing IS in Supplier Agreements</t>
  </si>
  <si>
    <t xml:space="preserve">Insert right-to-audit clause in next contract renewal. Request annual third-party pen test reports as minimum.</t>
  </si>
  <si>
    <t xml:space="preserve">Procurement / Legal</t>
  </si>
  <si>
    <t xml:space="preserve">RISK SCORING MATRIX — Likelihood × Impact (1–5 Scale)</t>
  </si>
  <si>
    <t xml:space="preserve">CRITICAL</t>
  </si>
  <si>
    <t xml:space="preserve">Score 20–25</t>
  </si>
  <si>
    <t xml:space="preserve">HIGH</t>
  </si>
  <si>
    <t xml:space="preserve">Score 12–19</t>
  </si>
  <si>
    <t xml:space="preserve">MEDIUM</t>
  </si>
  <si>
    <t xml:space="preserve">Score 6–11</t>
  </si>
  <si>
    <t xml:space="preserve">LOW</t>
  </si>
  <si>
    <t xml:space="preserve">Score 1–5</t>
  </si>
  <si>
    <t xml:space="preserve">IMPACT →</t>
  </si>
  <si>
    <t xml:space="preserve">1
Very Low</t>
  </si>
  <si>
    <t xml:space="preserve">2
Low</t>
  </si>
  <si>
    <t xml:space="preserve">3
Moderate</t>
  </si>
  <si>
    <t xml:space="preserve">4
High</t>
  </si>
  <si>
    <t xml:space="preserve">5
Very High</t>
  </si>
  <si>
    <t xml:space="preserve">LIKELIHOOD ↓</t>
  </si>
  <si>
    <t xml:space="preserve">1
Rare</t>
  </si>
  <si>
    <t xml:space="preserve">2
Unlikely</t>
  </si>
  <si>
    <t xml:space="preserve">3
Possible</t>
  </si>
  <si>
    <t xml:space="preserve">4
Likely</t>
  </si>
  <si>
    <t xml:space="preserve">5
Almost Certain</t>
  </si>
  <si>
    <t xml:space="preserve">RISK PLACEMENT IN MATRIX</t>
  </si>
  <si>
    <t xml:space="preserve">Likelihood</t>
  </si>
  <si>
    <t xml:space="preserve">Impact</t>
  </si>
  <si>
    <t xml:space="preserve">Score</t>
  </si>
  <si>
    <t xml:space="preserve">Priority Action</t>
  </si>
  <si>
    <t xml:space="preserve">Immediate – P1</t>
  </si>
  <si>
    <t xml:space="preserve">No Data Retention Policy</t>
  </si>
  <si>
    <t xml:space="preserve">Excessive User Privileges</t>
  </si>
  <si>
    <t xml:space="preserve">30 Days – P2</t>
  </si>
  <si>
    <t xml:space="preserve">Insufficient Data Masking</t>
  </si>
  <si>
    <t xml:space="preserve">No SOC 2 Type II</t>
  </si>
  <si>
    <t xml:space="preserve">60 Days – P2</t>
  </si>
  <si>
    <t xml:space="preserve">Ambiguous DPA</t>
  </si>
  <si>
    <t xml:space="preserve">No Offboarding Process</t>
  </si>
  <si>
    <t xml:space="preserve">90 Days – P3</t>
  </si>
  <si>
    <t xml:space="preserve">Inadequate Backup Testing</t>
  </si>
  <si>
    <t xml:space="preserve">No Tested DR Plan</t>
  </si>
  <si>
    <t xml:space="preserve">Single Cloud Region</t>
  </si>
  <si>
    <t xml:space="preserve">No Right-to-Audit Clause</t>
  </si>
  <si>
    <t xml:space="preserve">Low</t>
  </si>
  <si>
    <t xml:space="preserve">Next Renewal – P4</t>
  </si>
  <si>
    <t xml:space="preserve">ISO/IEC 27001:2022 CONTROL MAPPING</t>
  </si>
  <si>
    <t xml:space="preserve">Risks mapped to ISO 27001:2022 Annex A Controls and Clauses</t>
  </si>
  <si>
    <t xml:space="preserve">ISO 27001 Control</t>
  </si>
  <si>
    <t xml:space="preserve">Clause Reference</t>
  </si>
  <si>
    <t xml:space="preserve">Control Type</t>
  </si>
  <si>
    <t xml:space="preserve">Implementation Guidance</t>
  </si>
  <si>
    <t xml:space="preserve">Privileged Access Rights</t>
  </si>
  <si>
    <t xml:space="preserve">A.8.2</t>
  </si>
  <si>
    <t xml:space="preserve">Preventive</t>
  </si>
  <si>
    <t xml:space="preserve">Enforce MFA via IAM policy. Use PAM tools (e.g., CyberArk). Log all privileged sessions.</t>
  </si>
  <si>
    <t xml:space="preserve">Implement RBAC. Conduct quarterly access recertification. Use least privilege by default.</t>
  </si>
  <si>
    <t xml:space="preserve">Access Rights</t>
  </si>
  <si>
    <t xml:space="preserve">A.5.18</t>
  </si>
  <si>
    <t xml:space="preserve">Corrective</t>
  </si>
  <si>
    <t xml:space="preserve">Define joiner-mover-leaver process. Automate deprovisioning. Review IAM monthly.</t>
  </si>
  <si>
    <t xml:space="preserve">Use of Cryptography</t>
  </si>
  <si>
    <t xml:space="preserve">A.8.24</t>
  </si>
  <si>
    <t xml:space="preserve">Apply AES-256 for all stored data. Manage keys via KMS. Audit encryption quarterly.</t>
  </si>
  <si>
    <t xml:space="preserve">Test Information</t>
  </si>
  <si>
    <t xml:space="preserve">A.8.33</t>
  </si>
  <si>
    <t xml:space="preserve">Use data masking tools (e.g., Delphix). Never use real PII in non-prod environments.</t>
  </si>
  <si>
    <t xml:space="preserve">Information Backup</t>
  </si>
  <si>
    <t xml:space="preserve">A.8.13</t>
  </si>
  <si>
    <t xml:space="preserve">Detective</t>
  </si>
  <si>
    <t xml:space="preserve">Define backup schedule and test quarterly. Document RTO/RPO. Use immutable backups.</t>
  </si>
  <si>
    <t xml:space="preserve">Absence of SOC 2 Type II</t>
  </si>
  <si>
    <t xml:space="preserve">Compliance with Policies</t>
  </si>
  <si>
    <t xml:space="preserve">A.5.36</t>
  </si>
  <si>
    <t xml:space="preserve">Require SOC 2 Type II. Review annually. Include audit rights in contract.</t>
  </si>
  <si>
    <t xml:space="preserve">Information Deletion</t>
  </si>
  <si>
    <t xml:space="preserve">A.8.10</t>
  </si>
  <si>
    <t xml:space="preserve">Create retention schedule aligned to GDPR Art.5. Implement auto-deletion workflow.</t>
  </si>
  <si>
    <t xml:space="preserve">IS During Disruption</t>
  </si>
  <si>
    <t xml:space="preserve">A.5.29</t>
  </si>
  <si>
    <t xml:space="preserve">Conduct annual DR tabletop. Test RTO/RPO. Document lessons learned. Share results.</t>
  </si>
  <si>
    <t xml:space="preserve">Redundancy of IT</t>
  </si>
  <si>
    <t xml:space="preserve">A.8.14</t>
  </si>
  <si>
    <t xml:space="preserve">Design active-passive multi-region failover. Validate with chaos engineering tests.</t>
  </si>
  <si>
    <t xml:space="preserve">IS in Supplier Relationships</t>
  </si>
  <si>
    <t xml:space="preserve">A.5.19</t>
  </si>
  <si>
    <t xml:space="preserve">Renegotiate DPA with sub-processor list, SCCs, liability clauses per GDPR Art.28.</t>
  </si>
  <si>
    <t xml:space="preserve">Addressing IS in Supplier Agreements</t>
  </si>
  <si>
    <t xml:space="preserve">A.5.20</t>
  </si>
  <si>
    <t xml:space="preserve">Insert audit rights clause. Request annual pen test reports. Define audit cadence.</t>
  </si>
  <si>
    <t xml:space="preserve">VENDOR RISK ASSESSMENT — EXECUTIVE DASHBOARD</t>
  </si>
  <si>
    <t xml:space="preserve">CloudSecure SaaS Pvt. Ltd.  |  Assessment Date: May 2026  |  Framework: ISO 27001:2022</t>
  </si>
  <si>
    <t xml:space="preserve">TOTAL RISKS</t>
  </si>
  <si>
    <t xml:space="preserve">OPEN ACTIONS</t>
  </si>
  <si>
    <t xml:space="preserve">RISK DISTRIBUTION BY DOMAIN</t>
  </si>
  <si>
    <t xml:space="preserve">MITIGATION PRIORITY TRACKER</t>
  </si>
  <si>
    <t xml:space="preserve">Total</t>
  </si>
  <si>
    <t xml:space="preserve">Priority</t>
  </si>
  <si>
    <t xml:space="preserve">Timeline</t>
  </si>
  <si>
    <t xml:space="preserve"># Risks</t>
  </si>
  <si>
    <t xml:space="preserve">Status</t>
  </si>
  <si>
    <t xml:space="preserve">P1 – Immediate</t>
  </si>
  <si>
    <t xml:space="preserve">0–30 Days</t>
  </si>
  <si>
    <t xml:space="preserve">⚠ Action Required</t>
  </si>
  <si>
    <t xml:space="preserve">P2 – Urgent</t>
  </si>
  <si>
    <t xml:space="preserve">30–60 Days</t>
  </si>
  <si>
    <t xml:space="preserve">P3 – Planned</t>
  </si>
  <si>
    <t xml:space="preserve">60–90 Days</t>
  </si>
  <si>
    <t xml:space="preserve">📋 Scheduled</t>
  </si>
  <si>
    <t xml:space="preserve">P4 – Monitor</t>
  </si>
  <si>
    <t xml:space="preserve">Next Renewal</t>
  </si>
  <si>
    <t xml:space="preserve">👁 Monitor</t>
  </si>
  <si>
    <t xml:space="preserve">Contractual/Legal</t>
  </si>
  <si>
    <t xml:space="preserve">TOTAL</t>
  </si>
  <si>
    <t xml:space="preserve">Count</t>
  </si>
  <si>
    <t xml:space="preserve">Technical Term / Acronym</t>
  </si>
  <si>
    <t xml:space="preserve">Simple Definition</t>
  </si>
  <si>
    <t xml:space="preserve">GRC</t>
  </si>
  <si>
    <t xml:space="preserve">managing rules, risks, and security</t>
  </si>
  <si>
    <t xml:space="preserve">ISO 27001</t>
  </si>
  <si>
    <t xml:space="preserve">a standard for information security management</t>
  </si>
  <si>
    <t xml:space="preserve">SOC 2</t>
  </si>
  <si>
    <t xml:space="preserve">a framework for checking security and other controls</t>
  </si>
  <si>
    <t xml:space="preserve">GDPR</t>
  </si>
  <si>
    <t xml:space="preserve">a European Union data protection law</t>
  </si>
  <si>
    <t xml:space="preserve">SaaS</t>
  </si>
  <si>
    <t xml:space="preserve">software provided through the internet</t>
  </si>
  <si>
    <t xml:space="preserve">PII</t>
  </si>
  <si>
    <t xml:space="preserve">information that can identify a person</t>
  </si>
  <si>
    <t xml:space="preserve">MFA</t>
  </si>
  <si>
    <t xml:space="preserve">more than one check during login</t>
  </si>
  <si>
    <t xml:space="preserve">IAM</t>
  </si>
  <si>
    <t xml:space="preserve">managing user identities and access</t>
  </si>
  <si>
    <t xml:space="preserve">SLA</t>
  </si>
  <si>
    <t xml:space="preserve">an agreement about expected service levels</t>
  </si>
  <si>
    <t xml:space="preserve">RTO</t>
  </si>
  <si>
    <t xml:space="preserve">target time to restore a service</t>
  </si>
  <si>
    <t xml:space="preserve">RPO</t>
  </si>
  <si>
    <t xml:space="preserve">target amount of data loss after an incident</t>
  </si>
  <si>
    <t xml:space="preserve">Risk Register</t>
  </si>
  <si>
    <t xml:space="preserve">a list used to track risks and actions</t>
  </si>
  <si>
    <t xml:space="preserve">the person responsible for a risk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</si>
</sst>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Arial"/>
      <family val="0"/>
      <charset val="1"/>
    </font>
    <font>
      <i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1F3864"/>
      <name val="Arial"/>
      <family val="0"/>
      <charset val="1"/>
    </font>
    <font>
      <i val="true"/>
      <sz val="8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2F5496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9"/>
      <color rgb="FF375623"/>
      <name val="Arial"/>
      <family val="0"/>
      <charset val="1"/>
    </font>
    <font>
      <b val="true"/>
      <sz val="9"/>
      <color rgb="FF7F6000"/>
      <name val="Arial"/>
      <family val="0"/>
      <charset val="1"/>
    </font>
    <font>
      <b val="true"/>
      <sz val="9"/>
      <color rgb="FF843C0C"/>
      <name val="Arial"/>
      <family val="0"/>
      <charset val="1"/>
    </font>
    <font>
      <b val="true"/>
      <sz val="9"/>
      <color rgb="FF40404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2F5496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theme="1"/>
      <name val="Calibri"/>
      <family val="2"/>
      <charset val="1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2E86AB"/>
        <bgColor rgb="FF4F81BD"/>
      </patternFill>
    </fill>
    <fill>
      <patternFill patternType="solid">
        <fgColor rgb="FF2F5496"/>
        <bgColor rgb="FF1F3864"/>
      </patternFill>
    </fill>
    <fill>
      <patternFill patternType="solid">
        <fgColor rgb="FFD6E4F0"/>
        <bgColor rgb="FFDEEBF7"/>
      </patternFill>
    </fill>
    <fill>
      <patternFill patternType="solid">
        <fgColor rgb="FFDEEBF7"/>
        <bgColor rgb="FFD6E4F0"/>
      </patternFill>
    </fill>
    <fill>
      <patternFill patternType="solid">
        <fgColor rgb="FFFFFFFF"/>
        <bgColor rgb="FFF9F9F9"/>
      </patternFill>
    </fill>
    <fill>
      <patternFill patternType="solid">
        <fgColor rgb="FFF2F2F2"/>
        <bgColor rgb="FFF9F9F9"/>
      </patternFill>
    </fill>
    <fill>
      <patternFill patternType="solid">
        <fgColor rgb="FFC00000"/>
        <bgColor rgb="FF800000"/>
      </patternFill>
    </fill>
    <fill>
      <patternFill patternType="solid">
        <fgColor rgb="FFFF4500"/>
        <bgColor rgb="FFED7D31"/>
      </patternFill>
    </fill>
    <fill>
      <patternFill patternType="solid">
        <fgColor rgb="FFE2EFDA"/>
        <bgColor rgb="FFDEEBF7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D7D31"/>
        <bgColor rgb="FFFF9900"/>
      </patternFill>
    </fill>
    <fill>
      <patternFill patternType="solid">
        <fgColor rgb="FF70AD47"/>
        <bgColor rgb="FF87878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9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78787"/>
      <rgbColor rgb="FF9999FF"/>
      <rgbColor rgb="FF993366"/>
      <rgbColor rgb="FFFFF2CC"/>
      <rgbColor rgb="FFDEEBF7"/>
      <rgbColor rgb="FF660066"/>
      <rgbColor rgb="FFED7D31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E2EFDA"/>
      <rgbColor rgb="FFF2F2F2"/>
      <rgbColor rgb="FFF9F9F9"/>
      <rgbColor rgb="FFFF99CC"/>
      <rgbColor rgb="FFCC99FF"/>
      <rgbColor rgb="FFFCE4D6"/>
      <rgbColor rgb="FF4F81BD"/>
      <rgbColor rgb="FF33CCCC"/>
      <rgbColor rgb="FF99CC00"/>
      <rgbColor rgb="FFFFCC00"/>
      <rgbColor rgb="FFFF9900"/>
      <rgbColor rgb="FFFF4500"/>
      <rgbColor rgb="FF595959"/>
      <rgbColor rgb="FF70AD47"/>
      <rgbColor rgb="FF1F3864"/>
      <rgbColor rgb="FF2E86AB"/>
      <rgbColor rgb="FF003300"/>
      <rgbColor rgb="FF375623"/>
      <rgbColor rgb="FF843C0C"/>
      <rgbColor rgb="FF993366"/>
      <rgbColor rgb="FF2F5496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Risk Distribution by Level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Dashboard!C20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Pt>
            <c:idx val="0"/>
            <c:invertIfNegative val="0"/>
            <c:spPr>
              <a:solidFill>
                <a:srgbClr val="c0000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invertIfNegative val="0"/>
            <c:spPr>
              <a:solidFill>
                <a:srgbClr val="ff450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invertIfNegative val="0"/>
            <c:spPr>
              <a:solidFill>
                <a:srgbClr val="ed7d31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invertIfNegative val="0"/>
            <c:spPr>
              <a:solidFill>
                <a:srgbClr val="70ad47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Dashboard!$B$21:$B$24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</c:strCache>
            </c:strRef>
          </c:cat>
          <c:val>
            <c:numRef>
              <c:f>Dashboard!$C$21:$C$24</c:f>
              <c:numCache>
                <c:formatCode>General</c:formatCode>
                <c:ptCount val="4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1</c:v>
                </c:pt>
              </c:numCache>
            </c:numRef>
          </c:val>
        </c:ser>
        <c:gapWidth val="150"/>
        <c:overlap val="0"/>
        <c:axId val="27765938"/>
        <c:axId val="85313887"/>
      </c:barChart>
      <c:catAx>
        <c:axId val="2776593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Risk Level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313887"/>
        <c:crosses val="autoZero"/>
        <c:auto val="1"/>
        <c:lblAlgn val="ctr"/>
        <c:lblOffset val="100"/>
        <c:noMultiLvlLbl val="0"/>
      </c:catAx>
      <c:valAx>
        <c:axId val="853138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Number of Risks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76593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27</xdr:row>
      <xdr:rowOff>0</xdr:rowOff>
    </xdr:from>
    <xdr:to>
      <xdr:col>6</xdr:col>
      <xdr:colOff>104400</xdr:colOff>
      <xdr:row>41</xdr:row>
      <xdr:rowOff>131400</xdr:rowOff>
    </xdr:to>
    <xdr:graphicFrame>
      <xdr:nvGraphicFramePr>
        <xdr:cNvPr id="0" name="Chart 1"/>
        <xdr:cNvGraphicFramePr/>
      </xdr:nvGraphicFramePr>
      <xdr:xfrm>
        <a:off x="986760" y="7334280"/>
        <a:ext cx="5038560" cy="359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1" width="18"/>
  </cols>
  <sheetData>
    <row r="1" customFormat="false" ht="18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8" hidden="false" customHeight="tru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18" hidden="false" customHeight="tru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8" hidden="false" customHeight="true" outlineLevel="0" collapsed="false">
      <c r="A4" s="2"/>
      <c r="B4" s="2"/>
      <c r="C4" s="2"/>
      <c r="D4" s="2"/>
      <c r="E4" s="2"/>
      <c r="F4" s="2"/>
      <c r="G4" s="2"/>
      <c r="H4" s="2"/>
    </row>
    <row r="5" customFormat="false" ht="18" hidden="false" customHeight="true" outlineLevel="0" collapsed="false">
      <c r="A5" s="2"/>
      <c r="B5" s="2"/>
      <c r="C5" s="2"/>
      <c r="D5" s="2"/>
      <c r="E5" s="2"/>
      <c r="F5" s="2"/>
      <c r="G5" s="2"/>
      <c r="H5" s="2"/>
    </row>
    <row r="6" customFormat="false" ht="18" hidden="false" customHeight="true" outlineLevel="0" collapsed="false">
      <c r="A6" s="2"/>
      <c r="B6" s="2"/>
      <c r="C6" s="2"/>
      <c r="D6" s="2"/>
      <c r="E6" s="2"/>
      <c r="F6" s="2"/>
      <c r="G6" s="2"/>
      <c r="H6" s="2"/>
    </row>
    <row r="7" customFormat="false" ht="27.75" hidden="false" customHeight="true" outlineLevel="0" collapsed="false">
      <c r="A7" s="3" t="s">
        <v>1</v>
      </c>
      <c r="B7" s="3"/>
      <c r="C7" s="3"/>
      <c r="D7" s="3"/>
      <c r="E7" s="3"/>
      <c r="F7" s="3"/>
      <c r="G7" s="3"/>
      <c r="H7" s="3"/>
    </row>
    <row r="8" customFormat="false" ht="18" hidden="false" customHeight="true" outlineLevel="0" collapsed="false"/>
    <row r="9" customFormat="false" ht="18" hidden="false" customHeight="true" outlineLevel="0" collapsed="false"/>
    <row r="10" customFormat="false" ht="21.75" hidden="false" customHeight="true" outlineLevel="0" collapsed="false">
      <c r="B10" s="4" t="s">
        <v>2</v>
      </c>
      <c r="C10" s="4"/>
      <c r="D10" s="5" t="s">
        <v>3</v>
      </c>
      <c r="E10" s="5"/>
      <c r="F10" s="5"/>
      <c r="G10" s="5"/>
    </row>
    <row r="11" customFormat="false" ht="18" hidden="false" customHeight="true" outlineLevel="0" collapsed="false"/>
    <row r="12" customFormat="false" ht="21.75" hidden="false" customHeight="true" outlineLevel="0" collapsed="false">
      <c r="B12" s="4" t="s">
        <v>4</v>
      </c>
      <c r="C12" s="4"/>
      <c r="D12" s="5" t="s">
        <v>5</v>
      </c>
      <c r="E12" s="5"/>
      <c r="F12" s="5"/>
      <c r="G12" s="5"/>
    </row>
    <row r="13" customFormat="false" ht="18" hidden="false" customHeight="true" outlineLevel="0" collapsed="false"/>
    <row r="14" customFormat="false" ht="21.75" hidden="false" customHeight="true" outlineLevel="0" collapsed="false">
      <c r="B14" s="4" t="s">
        <v>6</v>
      </c>
      <c r="C14" s="4"/>
      <c r="D14" s="5" t="s">
        <v>7</v>
      </c>
      <c r="E14" s="5"/>
      <c r="F14" s="5"/>
      <c r="G14" s="5"/>
    </row>
    <row r="15" customFormat="false" ht="18" hidden="false" customHeight="true" outlineLevel="0" collapsed="false"/>
    <row r="16" customFormat="false" ht="21.75" hidden="false" customHeight="true" outlineLevel="0" collapsed="false">
      <c r="B16" s="4" t="s">
        <v>8</v>
      </c>
      <c r="C16" s="4"/>
      <c r="D16" s="5" t="s">
        <v>9</v>
      </c>
      <c r="E16" s="5"/>
      <c r="F16" s="5"/>
      <c r="G16" s="5"/>
    </row>
    <row r="17" customFormat="false" ht="18" hidden="false" customHeight="true" outlineLevel="0" collapsed="false"/>
    <row r="18" customFormat="false" ht="21.75" hidden="false" customHeight="true" outlineLevel="0" collapsed="false">
      <c r="B18" s="4" t="s">
        <v>10</v>
      </c>
      <c r="C18" s="4"/>
      <c r="D18" s="5" t="s">
        <v>11</v>
      </c>
      <c r="E18" s="5"/>
      <c r="F18" s="5"/>
      <c r="G18" s="5"/>
    </row>
    <row r="19" customFormat="false" ht="18" hidden="false" customHeight="true" outlineLevel="0" collapsed="false"/>
    <row r="20" customFormat="false" ht="21.75" hidden="false" customHeight="true" outlineLevel="0" collapsed="false">
      <c r="B20" s="4" t="s">
        <v>12</v>
      </c>
      <c r="C20" s="4"/>
      <c r="D20" s="5" t="s">
        <v>13</v>
      </c>
      <c r="E20" s="5"/>
      <c r="F20" s="5"/>
      <c r="G20" s="5"/>
    </row>
    <row r="21" customFormat="false" ht="18" hidden="false" customHeight="true" outlineLevel="0" collapsed="false"/>
    <row r="22" customFormat="false" ht="21.75" hidden="false" customHeight="true" outlineLevel="0" collapsed="false">
      <c r="B22" s="4" t="s">
        <v>14</v>
      </c>
      <c r="C22" s="4"/>
      <c r="D22" s="5" t="s">
        <v>15</v>
      </c>
      <c r="E22" s="5"/>
      <c r="F22" s="5"/>
      <c r="G22" s="5"/>
    </row>
    <row r="23" customFormat="false" ht="18" hidden="false" customHeight="true" outlineLevel="0" collapsed="false"/>
    <row r="24" customFormat="false" ht="21.75" hidden="false" customHeight="true" outlineLevel="0" collapsed="false">
      <c r="B24" s="4" t="s">
        <v>16</v>
      </c>
      <c r="C24" s="4"/>
      <c r="D24" s="5" t="s">
        <v>17</v>
      </c>
      <c r="E24" s="5"/>
      <c r="F24" s="5"/>
      <c r="G24" s="5"/>
    </row>
    <row r="25" customFormat="false" ht="18" hidden="false" customHeight="true" outlineLevel="0" collapsed="false"/>
    <row r="26" customFormat="false" ht="18" hidden="false" customHeight="true" outlineLevel="0" collapsed="false"/>
    <row r="27" customFormat="false" ht="18" hidden="false" customHeight="true" outlineLevel="0" collapsed="false"/>
    <row r="28" customFormat="false" ht="18" hidden="false" customHeight="true" outlineLevel="0" collapsed="false"/>
    <row r="29" customFormat="false" ht="18" hidden="false" customHeight="true" outlineLevel="0" collapsed="false"/>
    <row r="30" customFormat="false" ht="24" hidden="false" customHeight="true" outlineLevel="0" collapsed="false">
      <c r="B30" s="6" t="s">
        <v>18</v>
      </c>
      <c r="C30" s="6"/>
      <c r="D30" s="6"/>
      <c r="E30" s="6"/>
      <c r="F30" s="6"/>
      <c r="G30" s="6"/>
    </row>
    <row r="31" customFormat="false" ht="90" hidden="false" customHeight="true" outlineLevel="0" collapsed="false">
      <c r="B31" s="7" t="s">
        <v>19</v>
      </c>
      <c r="C31" s="7"/>
      <c r="D31" s="7"/>
      <c r="E31" s="7"/>
      <c r="F31" s="7"/>
      <c r="G31" s="7"/>
    </row>
    <row r="32" customFormat="false" ht="18" hidden="false" customHeight="true" outlineLevel="0" collapsed="false"/>
    <row r="33" customFormat="false" ht="18" hidden="false" customHeight="true" outlineLevel="0" collapsed="false"/>
    <row r="34" customFormat="false" ht="18" hidden="false" customHeight="true" outlineLevel="0" collapsed="false"/>
    <row r="35" customFormat="false" ht="18" hidden="false" customHeight="true" outlineLevel="0" collapsed="false"/>
    <row r="36" customFormat="false" ht="18" hidden="false" customHeight="true" outlineLevel="0" collapsed="false"/>
    <row r="37" customFormat="false" ht="18" hidden="false" customHeight="true" outlineLevel="0" collapsed="false"/>
    <row r="38" customFormat="false" ht="18" hidden="false" customHeight="true" outlineLevel="0" collapsed="false"/>
    <row r="39" customFormat="false" ht="18" hidden="false" customHeight="true" outlineLevel="0" collapsed="false"/>
    <row r="40" customFormat="false" ht="18" hidden="false" customHeight="true" outlineLevel="0" collapsed="false"/>
    <row r="41" customFormat="false" ht="18" hidden="false" customHeight="true" outlineLevel="0" collapsed="false"/>
    <row r="42" customFormat="false" ht="18" hidden="false" customHeight="true" outlineLevel="0" collapsed="false"/>
    <row r="43" customFormat="false" ht="18" hidden="false" customHeight="true" outlineLevel="0" collapsed="false"/>
    <row r="44" customFormat="false" ht="18" hidden="false" customHeight="true" outlineLevel="0" collapsed="false"/>
    <row r="45" customFormat="false" ht="18" hidden="false" customHeight="true" outlineLevel="0" collapsed="false"/>
    <row r="46" customFormat="false" ht="18" hidden="false" customHeight="true" outlineLevel="0" collapsed="false"/>
    <row r="47" customFormat="false" ht="18" hidden="false" customHeight="true" outlineLevel="0" collapsed="false"/>
    <row r="48" customFormat="false" ht="18" hidden="false" customHeight="true" outlineLevel="0" collapsed="false"/>
    <row r="49" customFormat="false" ht="18" hidden="false" customHeight="true" outlineLevel="0" collapsed="false"/>
    <row r="50" customFormat="false" ht="18" hidden="false" customHeight="true" outlineLevel="0" collapsed="false"/>
    <row r="51" customFormat="false" ht="18" hidden="false" customHeight="true" outlineLevel="0" collapsed="false"/>
    <row r="52" customFormat="false" ht="18" hidden="false" customHeight="true" outlineLevel="0" collapsed="false"/>
    <row r="53" customFormat="false" ht="18" hidden="false" customHeight="true" outlineLevel="0" collapsed="false"/>
    <row r="54" customFormat="false" ht="18" hidden="false" customHeight="true" outlineLevel="0" collapsed="false"/>
    <row r="55" customFormat="false" ht="18" hidden="false" customHeight="true" outlineLevel="0" collapsed="false">
      <c r="A55" s="8" t="s">
        <v>20</v>
      </c>
      <c r="B55" s="8"/>
      <c r="C55" s="8"/>
      <c r="D55" s="8"/>
      <c r="E55" s="8"/>
      <c r="F55" s="8"/>
      <c r="G55" s="8"/>
      <c r="H55" s="8"/>
    </row>
    <row r="56" customFormat="false" ht="18" hidden="false" customHeight="true" outlineLevel="0" collapsed="false"/>
    <row r="57" customFormat="false" ht="18" hidden="false" customHeight="true" outlineLevel="0" collapsed="false"/>
    <row r="58" customFormat="false" ht="18" hidden="false" customHeight="true" outlineLevel="0" collapsed="false"/>
    <row r="59" customFormat="false" ht="18" hidden="false" customHeight="true" outlineLevel="0" collapsed="false"/>
  </sheetData>
  <mergeCells count="21">
    <mergeCell ref="A1:H6"/>
    <mergeCell ref="A7:H7"/>
    <mergeCell ref="B10:C10"/>
    <mergeCell ref="D10:G10"/>
    <mergeCell ref="B12:C12"/>
    <mergeCell ref="D12:G12"/>
    <mergeCell ref="B14:C14"/>
    <mergeCell ref="D14:G14"/>
    <mergeCell ref="B16:C16"/>
    <mergeCell ref="D16:G16"/>
    <mergeCell ref="B18:C18"/>
    <mergeCell ref="D18:G18"/>
    <mergeCell ref="B20:C20"/>
    <mergeCell ref="D20:G20"/>
    <mergeCell ref="B22:C22"/>
    <mergeCell ref="D22:G22"/>
    <mergeCell ref="B24:C24"/>
    <mergeCell ref="D24:G24"/>
    <mergeCell ref="B30:G30"/>
    <mergeCell ref="B31:G31"/>
    <mergeCell ref="A55:H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4"/>
    <col collapsed="false" customWidth="true" hidden="false" outlineLevel="0" max="3" min="3" style="1" width="22"/>
    <col collapsed="false" customWidth="true" hidden="false" outlineLevel="0" max="5" min="4" style="1" width="32"/>
    <col collapsed="false" customWidth="true" hidden="false" outlineLevel="0" max="8" min="6" style="1" width="12"/>
    <col collapsed="false" customWidth="true" hidden="false" outlineLevel="0" max="9" min="9" style="1" width="14"/>
    <col collapsed="false" customWidth="true" hidden="false" outlineLevel="0" max="11" min="10" style="1" width="28"/>
    <col collapsed="false" customWidth="true" hidden="false" outlineLevel="0" max="12" min="12" style="1" width="20"/>
  </cols>
  <sheetData>
    <row r="1" customFormat="false" ht="36" hidden="false" customHeight="true" outlineLevel="0" collapsed="false">
      <c r="A1" s="9" t="s">
        <v>21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customFormat="false" ht="19.5" hidden="false" customHeight="true" outlineLevel="0" collapsed="false">
      <c r="A2" s="10" t="s">
        <v>22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customFormat="false" ht="36" hidden="false" customHeight="true" outlineLevel="0" collapsed="false">
      <c r="A3" s="11" t="s">
        <v>23</v>
      </c>
      <c r="B3" s="11" t="s">
        <v>24</v>
      </c>
      <c r="C3" s="11" t="s">
        <v>25</v>
      </c>
      <c r="D3" s="11" t="s">
        <v>26</v>
      </c>
      <c r="E3" s="11" t="s">
        <v>27</v>
      </c>
      <c r="F3" s="11" t="s">
        <v>28</v>
      </c>
      <c r="G3" s="11" t="s">
        <v>29</v>
      </c>
      <c r="H3" s="11" t="s">
        <v>30</v>
      </c>
      <c r="I3" s="11" t="s">
        <v>31</v>
      </c>
      <c r="J3" s="11" t="s">
        <v>32</v>
      </c>
      <c r="K3" s="11" t="s">
        <v>33</v>
      </c>
      <c r="L3" s="11" t="s">
        <v>34</v>
      </c>
    </row>
    <row r="4" customFormat="false" ht="60" hidden="false" customHeight="true" outlineLevel="0" collapsed="false">
      <c r="A4" s="12" t="s">
        <v>35</v>
      </c>
      <c r="B4" s="13" t="s">
        <v>36</v>
      </c>
      <c r="C4" s="14" t="s">
        <v>37</v>
      </c>
      <c r="D4" s="14" t="s">
        <v>38</v>
      </c>
      <c r="E4" s="14" t="s">
        <v>39</v>
      </c>
      <c r="F4" s="15" t="n">
        <v>5</v>
      </c>
      <c r="G4" s="15" t="n">
        <v>5</v>
      </c>
      <c r="H4" s="16" t="n">
        <f aca="false">F4*G4</f>
        <v>25</v>
      </c>
      <c r="I4" s="17" t="s">
        <v>40</v>
      </c>
      <c r="J4" s="14" t="s">
        <v>41</v>
      </c>
      <c r="K4" s="14" t="s">
        <v>42</v>
      </c>
      <c r="L4" s="14" t="s">
        <v>43</v>
      </c>
    </row>
    <row r="5" customFormat="false" ht="60" hidden="false" customHeight="true" outlineLevel="0" collapsed="false">
      <c r="A5" s="12" t="s">
        <v>44</v>
      </c>
      <c r="B5" s="13" t="s">
        <v>36</v>
      </c>
      <c r="C5" s="18" t="s">
        <v>45</v>
      </c>
      <c r="D5" s="18" t="s">
        <v>46</v>
      </c>
      <c r="E5" s="18" t="s">
        <v>47</v>
      </c>
      <c r="F5" s="15" t="n">
        <v>4</v>
      </c>
      <c r="G5" s="15" t="n">
        <v>4</v>
      </c>
      <c r="H5" s="16" t="n">
        <f aca="false">F5*G5</f>
        <v>16</v>
      </c>
      <c r="I5" s="19" t="s">
        <v>48</v>
      </c>
      <c r="J5" s="18" t="s">
        <v>41</v>
      </c>
      <c r="K5" s="18" t="s">
        <v>49</v>
      </c>
      <c r="L5" s="18" t="s">
        <v>50</v>
      </c>
    </row>
    <row r="6" customFormat="false" ht="60" hidden="false" customHeight="true" outlineLevel="0" collapsed="false">
      <c r="A6" s="12" t="s">
        <v>51</v>
      </c>
      <c r="B6" s="13" t="s">
        <v>36</v>
      </c>
      <c r="C6" s="14" t="s">
        <v>52</v>
      </c>
      <c r="D6" s="14" t="s">
        <v>53</v>
      </c>
      <c r="E6" s="14" t="s">
        <v>54</v>
      </c>
      <c r="F6" s="15" t="n">
        <v>3</v>
      </c>
      <c r="G6" s="15" t="n">
        <v>4</v>
      </c>
      <c r="H6" s="16" t="n">
        <f aca="false">F6*G6</f>
        <v>12</v>
      </c>
      <c r="I6" s="19" t="s">
        <v>48</v>
      </c>
      <c r="J6" s="14" t="s">
        <v>55</v>
      </c>
      <c r="K6" s="14" t="s">
        <v>56</v>
      </c>
      <c r="L6" s="14" t="s">
        <v>57</v>
      </c>
    </row>
    <row r="7" customFormat="false" ht="60" hidden="false" customHeight="true" outlineLevel="0" collapsed="false">
      <c r="A7" s="12" t="s">
        <v>58</v>
      </c>
      <c r="B7" s="20" t="s">
        <v>59</v>
      </c>
      <c r="C7" s="18" t="s">
        <v>60</v>
      </c>
      <c r="D7" s="18" t="s">
        <v>61</v>
      </c>
      <c r="E7" s="18" t="s">
        <v>62</v>
      </c>
      <c r="F7" s="15" t="n">
        <v>5</v>
      </c>
      <c r="G7" s="15" t="n">
        <v>5</v>
      </c>
      <c r="H7" s="16" t="n">
        <f aca="false">F7*G7</f>
        <v>25</v>
      </c>
      <c r="I7" s="17" t="s">
        <v>40</v>
      </c>
      <c r="J7" s="18" t="s">
        <v>63</v>
      </c>
      <c r="K7" s="18" t="s">
        <v>64</v>
      </c>
      <c r="L7" s="18" t="s">
        <v>65</v>
      </c>
    </row>
    <row r="8" customFormat="false" ht="60" hidden="false" customHeight="true" outlineLevel="0" collapsed="false">
      <c r="A8" s="12" t="s">
        <v>66</v>
      </c>
      <c r="B8" s="20" t="s">
        <v>59</v>
      </c>
      <c r="C8" s="14" t="s">
        <v>67</v>
      </c>
      <c r="D8" s="14" t="s">
        <v>68</v>
      </c>
      <c r="E8" s="14" t="s">
        <v>69</v>
      </c>
      <c r="F8" s="15" t="n">
        <v>4</v>
      </c>
      <c r="G8" s="15" t="n">
        <v>3</v>
      </c>
      <c r="H8" s="16" t="n">
        <f aca="false">F8*G8</f>
        <v>12</v>
      </c>
      <c r="I8" s="19" t="s">
        <v>48</v>
      </c>
      <c r="J8" s="14" t="s">
        <v>70</v>
      </c>
      <c r="K8" s="14" t="s">
        <v>71</v>
      </c>
      <c r="L8" s="14" t="s">
        <v>72</v>
      </c>
    </row>
    <row r="9" customFormat="false" ht="60" hidden="false" customHeight="true" outlineLevel="0" collapsed="false">
      <c r="A9" s="12" t="s">
        <v>73</v>
      </c>
      <c r="B9" s="20" t="s">
        <v>59</v>
      </c>
      <c r="C9" s="18" t="s">
        <v>74</v>
      </c>
      <c r="D9" s="18" t="s">
        <v>75</v>
      </c>
      <c r="E9" s="18" t="s">
        <v>76</v>
      </c>
      <c r="F9" s="15" t="n">
        <v>3</v>
      </c>
      <c r="G9" s="15" t="n">
        <v>4</v>
      </c>
      <c r="H9" s="16" t="n">
        <f aca="false">F9*G9</f>
        <v>12</v>
      </c>
      <c r="I9" s="19" t="s">
        <v>48</v>
      </c>
      <c r="J9" s="18" t="s">
        <v>77</v>
      </c>
      <c r="K9" s="18" t="s">
        <v>78</v>
      </c>
      <c r="L9" s="18" t="s">
        <v>79</v>
      </c>
    </row>
    <row r="10" customFormat="false" ht="60" hidden="false" customHeight="true" outlineLevel="0" collapsed="false">
      <c r="A10" s="12" t="s">
        <v>80</v>
      </c>
      <c r="B10" s="21" t="s">
        <v>81</v>
      </c>
      <c r="C10" s="14" t="s">
        <v>82</v>
      </c>
      <c r="D10" s="14" t="s">
        <v>83</v>
      </c>
      <c r="E10" s="14" t="s">
        <v>84</v>
      </c>
      <c r="F10" s="15" t="n">
        <v>4</v>
      </c>
      <c r="G10" s="15" t="n">
        <v>4</v>
      </c>
      <c r="H10" s="16" t="n">
        <f aca="false">F10*G10</f>
        <v>16</v>
      </c>
      <c r="I10" s="19" t="s">
        <v>48</v>
      </c>
      <c r="J10" s="14" t="s">
        <v>85</v>
      </c>
      <c r="K10" s="14" t="s">
        <v>86</v>
      </c>
      <c r="L10" s="14" t="s">
        <v>87</v>
      </c>
    </row>
    <row r="11" customFormat="false" ht="60" hidden="false" customHeight="true" outlineLevel="0" collapsed="false">
      <c r="A11" s="12" t="s">
        <v>88</v>
      </c>
      <c r="B11" s="21" t="s">
        <v>81</v>
      </c>
      <c r="C11" s="18" t="s">
        <v>89</v>
      </c>
      <c r="D11" s="18" t="s">
        <v>90</v>
      </c>
      <c r="E11" s="18" t="s">
        <v>91</v>
      </c>
      <c r="F11" s="15" t="n">
        <v>5</v>
      </c>
      <c r="G11" s="15" t="n">
        <v>4</v>
      </c>
      <c r="H11" s="16" t="n">
        <f aca="false">F11*G11</f>
        <v>20</v>
      </c>
      <c r="I11" s="17" t="s">
        <v>40</v>
      </c>
      <c r="J11" s="18" t="s">
        <v>92</v>
      </c>
      <c r="K11" s="18" t="s">
        <v>93</v>
      </c>
      <c r="L11" s="18" t="s">
        <v>94</v>
      </c>
    </row>
    <row r="12" customFormat="false" ht="60" hidden="false" customHeight="true" outlineLevel="0" collapsed="false">
      <c r="A12" s="12" t="s">
        <v>95</v>
      </c>
      <c r="B12" s="22" t="s">
        <v>96</v>
      </c>
      <c r="C12" s="14" t="s">
        <v>97</v>
      </c>
      <c r="D12" s="14" t="s">
        <v>98</v>
      </c>
      <c r="E12" s="14" t="s">
        <v>99</v>
      </c>
      <c r="F12" s="15" t="n">
        <v>3</v>
      </c>
      <c r="G12" s="15" t="n">
        <v>4</v>
      </c>
      <c r="H12" s="16" t="n">
        <f aca="false">F12*G12</f>
        <v>12</v>
      </c>
      <c r="I12" s="19" t="s">
        <v>48</v>
      </c>
      <c r="J12" s="14" t="s">
        <v>100</v>
      </c>
      <c r="K12" s="14" t="s">
        <v>101</v>
      </c>
      <c r="L12" s="14" t="s">
        <v>102</v>
      </c>
    </row>
    <row r="13" customFormat="false" ht="60" hidden="false" customHeight="true" outlineLevel="0" collapsed="false">
      <c r="A13" s="12" t="s">
        <v>103</v>
      </c>
      <c r="B13" s="22" t="s">
        <v>96</v>
      </c>
      <c r="C13" s="18" t="s">
        <v>104</v>
      </c>
      <c r="D13" s="18" t="s">
        <v>105</v>
      </c>
      <c r="E13" s="18" t="s">
        <v>106</v>
      </c>
      <c r="F13" s="15" t="n">
        <v>3</v>
      </c>
      <c r="G13" s="15" t="n">
        <v>3</v>
      </c>
      <c r="H13" s="16" t="n">
        <f aca="false">F13*G13</f>
        <v>9</v>
      </c>
      <c r="I13" s="23" t="s">
        <v>107</v>
      </c>
      <c r="J13" s="18" t="s">
        <v>108</v>
      </c>
      <c r="K13" s="18" t="s">
        <v>109</v>
      </c>
      <c r="L13" s="18" t="s">
        <v>110</v>
      </c>
    </row>
    <row r="14" customFormat="false" ht="60" hidden="false" customHeight="true" outlineLevel="0" collapsed="false">
      <c r="A14" s="12" t="s">
        <v>111</v>
      </c>
      <c r="B14" s="24" t="s">
        <v>112</v>
      </c>
      <c r="C14" s="14" t="s">
        <v>113</v>
      </c>
      <c r="D14" s="14" t="s">
        <v>114</v>
      </c>
      <c r="E14" s="14" t="s">
        <v>115</v>
      </c>
      <c r="F14" s="15" t="n">
        <v>4</v>
      </c>
      <c r="G14" s="15" t="n">
        <v>4</v>
      </c>
      <c r="H14" s="16" t="n">
        <f aca="false">F14*G14</f>
        <v>16</v>
      </c>
      <c r="I14" s="19" t="s">
        <v>48</v>
      </c>
      <c r="J14" s="14" t="s">
        <v>116</v>
      </c>
      <c r="K14" s="14" t="s">
        <v>117</v>
      </c>
      <c r="L14" s="14" t="s">
        <v>118</v>
      </c>
    </row>
    <row r="15" customFormat="false" ht="60" hidden="false" customHeight="true" outlineLevel="0" collapsed="false">
      <c r="A15" s="12" t="s">
        <v>119</v>
      </c>
      <c r="B15" s="24" t="s">
        <v>112</v>
      </c>
      <c r="C15" s="18" t="s">
        <v>120</v>
      </c>
      <c r="D15" s="18" t="s">
        <v>121</v>
      </c>
      <c r="E15" s="18" t="s">
        <v>122</v>
      </c>
      <c r="F15" s="15" t="n">
        <v>2</v>
      </c>
      <c r="G15" s="15" t="n">
        <v>3</v>
      </c>
      <c r="H15" s="16" t="n">
        <f aca="false">F15*G15</f>
        <v>6</v>
      </c>
      <c r="I15" s="23" t="s">
        <v>107</v>
      </c>
      <c r="J15" s="18" t="s">
        <v>123</v>
      </c>
      <c r="K15" s="18" t="s">
        <v>124</v>
      </c>
      <c r="L15" s="18" t="s">
        <v>125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1" width="16"/>
  </cols>
  <sheetData>
    <row r="1" customFormat="false" ht="31.5" hidden="false" customHeight="true" outlineLevel="0" collapsed="false">
      <c r="A1" s="25" t="s">
        <v>126</v>
      </c>
      <c r="B1" s="25"/>
      <c r="C1" s="25"/>
      <c r="D1" s="25"/>
      <c r="E1" s="25"/>
      <c r="F1" s="25"/>
      <c r="G1" s="25"/>
      <c r="H1" s="25"/>
      <c r="I1" s="25"/>
      <c r="J1" s="25"/>
    </row>
    <row r="3" customFormat="false" ht="15" hidden="false" customHeight="true" outlineLevel="0" collapsed="false">
      <c r="B3" s="26" t="s">
        <v>127</v>
      </c>
      <c r="C3" s="27" t="s">
        <v>128</v>
      </c>
      <c r="D3" s="28" t="s">
        <v>129</v>
      </c>
      <c r="E3" s="27" t="s">
        <v>130</v>
      </c>
      <c r="F3" s="29" t="s">
        <v>131</v>
      </c>
      <c r="G3" s="27" t="s">
        <v>132</v>
      </c>
      <c r="H3" s="30" t="s">
        <v>133</v>
      </c>
      <c r="I3" s="27" t="s">
        <v>134</v>
      </c>
    </row>
    <row r="5" customFormat="false" ht="36" hidden="false" customHeight="true" outlineLevel="0" collapsed="false">
      <c r="A5" s="31" t="s">
        <v>135</v>
      </c>
      <c r="B5" s="11" t="s">
        <v>136</v>
      </c>
      <c r="C5" s="11" t="s">
        <v>137</v>
      </c>
      <c r="D5" s="11" t="s">
        <v>138</v>
      </c>
      <c r="E5" s="11" t="s">
        <v>139</v>
      </c>
      <c r="F5" s="11" t="s">
        <v>140</v>
      </c>
      <c r="H5" s="31" t="s">
        <v>141</v>
      </c>
    </row>
    <row r="6" customFormat="false" ht="37.5" hidden="false" customHeight="true" outlineLevel="0" collapsed="false">
      <c r="A6" s="11" t="s">
        <v>142</v>
      </c>
      <c r="B6" s="32" t="n">
        <v>1</v>
      </c>
      <c r="C6" s="32" t="n">
        <v>2</v>
      </c>
      <c r="D6" s="32" t="n">
        <v>3</v>
      </c>
      <c r="E6" s="33" t="n">
        <v>4</v>
      </c>
      <c r="F6" s="33" t="n">
        <v>5</v>
      </c>
    </row>
    <row r="7" customFormat="false" ht="37.5" hidden="false" customHeight="true" outlineLevel="0" collapsed="false">
      <c r="A7" s="11" t="s">
        <v>143</v>
      </c>
      <c r="B7" s="32" t="n">
        <v>2</v>
      </c>
      <c r="C7" s="32" t="n">
        <v>4</v>
      </c>
      <c r="D7" s="33" t="n">
        <v>6</v>
      </c>
      <c r="E7" s="33" t="n">
        <v>8</v>
      </c>
      <c r="F7" s="34" t="n">
        <v>10</v>
      </c>
    </row>
    <row r="8" customFormat="false" ht="37.5" hidden="false" customHeight="true" outlineLevel="0" collapsed="false">
      <c r="A8" s="11" t="s">
        <v>144</v>
      </c>
      <c r="B8" s="32" t="n">
        <v>3</v>
      </c>
      <c r="C8" s="33" t="n">
        <v>6</v>
      </c>
      <c r="D8" s="33" t="n">
        <v>9</v>
      </c>
      <c r="E8" s="34" t="n">
        <v>12</v>
      </c>
      <c r="F8" s="35" t="n">
        <v>15</v>
      </c>
    </row>
    <row r="9" customFormat="false" ht="37.5" hidden="false" customHeight="true" outlineLevel="0" collapsed="false">
      <c r="A9" s="11" t="s">
        <v>145</v>
      </c>
      <c r="B9" s="33" t="n">
        <v>4</v>
      </c>
      <c r="C9" s="33" t="n">
        <v>8</v>
      </c>
      <c r="D9" s="34" t="n">
        <v>12</v>
      </c>
      <c r="E9" s="35" t="n">
        <v>16</v>
      </c>
      <c r="F9" s="35" t="n">
        <v>20</v>
      </c>
    </row>
    <row r="10" customFormat="false" ht="37.5" hidden="false" customHeight="true" outlineLevel="0" collapsed="false">
      <c r="A10" s="11" t="s">
        <v>146</v>
      </c>
      <c r="B10" s="33" t="n">
        <v>5</v>
      </c>
      <c r="C10" s="34" t="n">
        <v>10</v>
      </c>
      <c r="D10" s="35" t="n">
        <v>15</v>
      </c>
      <c r="E10" s="35" t="n">
        <v>20</v>
      </c>
      <c r="F10" s="35" t="n">
        <v>25</v>
      </c>
    </row>
    <row r="13" customFormat="false" ht="24" hidden="false" customHeight="true" outlineLevel="0" collapsed="false">
      <c r="A13" s="6" t="s">
        <v>147</v>
      </c>
      <c r="B13" s="6"/>
      <c r="C13" s="6"/>
      <c r="D13" s="6"/>
      <c r="E13" s="6"/>
      <c r="F13" s="6"/>
      <c r="G13" s="6"/>
      <c r="H13" s="6"/>
      <c r="I13" s="6"/>
      <c r="J13" s="6"/>
    </row>
    <row r="14" customFormat="false" ht="24" hidden="false" customHeight="true" outlineLevel="0" collapsed="false">
      <c r="A14" s="36" t="s">
        <v>23</v>
      </c>
      <c r="B14" s="36" t="s">
        <v>25</v>
      </c>
      <c r="C14" s="36" t="s">
        <v>148</v>
      </c>
      <c r="D14" s="36" t="s">
        <v>149</v>
      </c>
      <c r="E14" s="36" t="s">
        <v>150</v>
      </c>
      <c r="F14" s="36" t="s">
        <v>31</v>
      </c>
      <c r="G14" s="36" t="s">
        <v>151</v>
      </c>
    </row>
    <row r="15" customFormat="false" ht="19.5" hidden="false" customHeight="true" outlineLevel="0" collapsed="false">
      <c r="A15" s="36" t="s">
        <v>35</v>
      </c>
      <c r="B15" s="37" t="s">
        <v>37</v>
      </c>
      <c r="C15" s="38" t="n">
        <v>5</v>
      </c>
      <c r="D15" s="38" t="n">
        <v>5</v>
      </c>
      <c r="E15" s="38" t="n">
        <v>25</v>
      </c>
      <c r="F15" s="26" t="s">
        <v>40</v>
      </c>
      <c r="G15" s="38" t="s">
        <v>152</v>
      </c>
    </row>
    <row r="16" customFormat="false" ht="19.5" hidden="false" customHeight="true" outlineLevel="0" collapsed="false">
      <c r="A16" s="36" t="s">
        <v>58</v>
      </c>
      <c r="B16" s="39" t="s">
        <v>60</v>
      </c>
      <c r="C16" s="40" t="n">
        <v>5</v>
      </c>
      <c r="D16" s="40" t="n">
        <v>5</v>
      </c>
      <c r="E16" s="40" t="n">
        <v>25</v>
      </c>
      <c r="F16" s="26" t="s">
        <v>40</v>
      </c>
      <c r="G16" s="40" t="s">
        <v>152</v>
      </c>
    </row>
    <row r="17" customFormat="false" ht="19.5" hidden="false" customHeight="true" outlineLevel="0" collapsed="false">
      <c r="A17" s="36" t="s">
        <v>88</v>
      </c>
      <c r="B17" s="37" t="s">
        <v>153</v>
      </c>
      <c r="C17" s="38" t="n">
        <v>4</v>
      </c>
      <c r="D17" s="38" t="n">
        <v>5</v>
      </c>
      <c r="E17" s="38" t="n">
        <v>20</v>
      </c>
      <c r="F17" s="26" t="s">
        <v>40</v>
      </c>
      <c r="G17" s="38" t="s">
        <v>152</v>
      </c>
    </row>
    <row r="18" customFormat="false" ht="19.5" hidden="false" customHeight="true" outlineLevel="0" collapsed="false">
      <c r="A18" s="36" t="s">
        <v>44</v>
      </c>
      <c r="B18" s="39" t="s">
        <v>154</v>
      </c>
      <c r="C18" s="40" t="n">
        <v>4</v>
      </c>
      <c r="D18" s="40" t="n">
        <v>4</v>
      </c>
      <c r="E18" s="40" t="n">
        <v>16</v>
      </c>
      <c r="F18" s="28" t="s">
        <v>48</v>
      </c>
      <c r="G18" s="40" t="s">
        <v>155</v>
      </c>
    </row>
    <row r="19" customFormat="false" ht="19.5" hidden="false" customHeight="true" outlineLevel="0" collapsed="false">
      <c r="A19" s="36" t="s">
        <v>66</v>
      </c>
      <c r="B19" s="37" t="s">
        <v>156</v>
      </c>
      <c r="C19" s="38" t="n">
        <v>3</v>
      </c>
      <c r="D19" s="38" t="n">
        <v>4</v>
      </c>
      <c r="E19" s="38" t="n">
        <v>12</v>
      </c>
      <c r="F19" s="28" t="s">
        <v>48</v>
      </c>
      <c r="G19" s="38" t="s">
        <v>155</v>
      </c>
    </row>
    <row r="20" customFormat="false" ht="19.5" hidden="false" customHeight="true" outlineLevel="0" collapsed="false">
      <c r="A20" s="36" t="s">
        <v>80</v>
      </c>
      <c r="B20" s="39" t="s">
        <v>157</v>
      </c>
      <c r="C20" s="40" t="n">
        <v>4</v>
      </c>
      <c r="D20" s="40" t="n">
        <v>4</v>
      </c>
      <c r="E20" s="40" t="n">
        <v>16</v>
      </c>
      <c r="F20" s="28" t="s">
        <v>48</v>
      </c>
      <c r="G20" s="40" t="s">
        <v>158</v>
      </c>
    </row>
    <row r="21" customFormat="false" ht="19.5" hidden="false" customHeight="true" outlineLevel="0" collapsed="false">
      <c r="A21" s="36" t="s">
        <v>111</v>
      </c>
      <c r="B21" s="37" t="s">
        <v>159</v>
      </c>
      <c r="C21" s="38" t="n">
        <v>4</v>
      </c>
      <c r="D21" s="38" t="n">
        <v>4</v>
      </c>
      <c r="E21" s="38" t="n">
        <v>16</v>
      </c>
      <c r="F21" s="28" t="s">
        <v>48</v>
      </c>
      <c r="G21" s="38" t="s">
        <v>158</v>
      </c>
    </row>
    <row r="22" customFormat="false" ht="19.5" hidden="false" customHeight="true" outlineLevel="0" collapsed="false">
      <c r="A22" s="36" t="s">
        <v>51</v>
      </c>
      <c r="B22" s="39" t="s">
        <v>160</v>
      </c>
      <c r="C22" s="40" t="n">
        <v>3</v>
      </c>
      <c r="D22" s="40" t="n">
        <v>4</v>
      </c>
      <c r="E22" s="40" t="n">
        <v>12</v>
      </c>
      <c r="F22" s="29" t="s">
        <v>107</v>
      </c>
      <c r="G22" s="40" t="s">
        <v>161</v>
      </c>
    </row>
    <row r="23" customFormat="false" ht="19.5" hidden="false" customHeight="true" outlineLevel="0" collapsed="false">
      <c r="A23" s="36" t="s">
        <v>73</v>
      </c>
      <c r="B23" s="37" t="s">
        <v>162</v>
      </c>
      <c r="C23" s="38" t="n">
        <v>4</v>
      </c>
      <c r="D23" s="38" t="n">
        <v>3</v>
      </c>
      <c r="E23" s="38" t="n">
        <v>12</v>
      </c>
      <c r="F23" s="29" t="s">
        <v>107</v>
      </c>
      <c r="G23" s="38" t="s">
        <v>161</v>
      </c>
    </row>
    <row r="24" customFormat="false" ht="19.5" hidden="false" customHeight="true" outlineLevel="0" collapsed="false">
      <c r="A24" s="36" t="s">
        <v>95</v>
      </c>
      <c r="B24" s="39" t="s">
        <v>163</v>
      </c>
      <c r="C24" s="40" t="n">
        <v>3</v>
      </c>
      <c r="D24" s="40" t="n">
        <v>4</v>
      </c>
      <c r="E24" s="40" t="n">
        <v>12</v>
      </c>
      <c r="F24" s="29" t="s">
        <v>107</v>
      </c>
      <c r="G24" s="40" t="s">
        <v>161</v>
      </c>
    </row>
    <row r="25" customFormat="false" ht="19.5" hidden="false" customHeight="true" outlineLevel="0" collapsed="false">
      <c r="A25" s="36" t="s">
        <v>103</v>
      </c>
      <c r="B25" s="37" t="s">
        <v>164</v>
      </c>
      <c r="C25" s="38" t="n">
        <v>3</v>
      </c>
      <c r="D25" s="38" t="n">
        <v>3</v>
      </c>
      <c r="E25" s="38" t="n">
        <v>9</v>
      </c>
      <c r="F25" s="29" t="s">
        <v>107</v>
      </c>
      <c r="G25" s="38" t="s">
        <v>161</v>
      </c>
    </row>
    <row r="26" customFormat="false" ht="19.5" hidden="false" customHeight="true" outlineLevel="0" collapsed="false">
      <c r="A26" s="36" t="s">
        <v>119</v>
      </c>
      <c r="B26" s="39" t="s">
        <v>165</v>
      </c>
      <c r="C26" s="40" t="n">
        <v>2</v>
      </c>
      <c r="D26" s="40" t="n">
        <v>3</v>
      </c>
      <c r="E26" s="40" t="n">
        <v>6</v>
      </c>
      <c r="F26" s="30" t="s">
        <v>166</v>
      </c>
      <c r="G26" s="40" t="s">
        <v>167</v>
      </c>
    </row>
  </sheetData>
  <mergeCells count="2">
    <mergeCell ref="A1:J1"/>
    <mergeCell ref="A13:J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8"/>
    <col collapsed="false" customWidth="true" hidden="false" outlineLevel="0" max="3" min="3" style="1" width="24"/>
    <col collapsed="false" customWidth="true" hidden="false" outlineLevel="0" max="4" min="4" style="1" width="28"/>
    <col collapsed="false" customWidth="true" hidden="false" outlineLevel="0" max="5" min="5" style="1" width="22"/>
    <col collapsed="false" customWidth="true" hidden="false" outlineLevel="0" max="6" min="6" style="1" width="18"/>
    <col collapsed="false" customWidth="true" hidden="false" outlineLevel="0" max="7" min="7" style="1" width="28"/>
  </cols>
  <sheetData>
    <row r="1" customFormat="false" ht="31.5" hidden="false" customHeight="true" outlineLevel="0" collapsed="false">
      <c r="A1" s="25" t="s">
        <v>168</v>
      </c>
      <c r="B1" s="25"/>
      <c r="C1" s="25"/>
      <c r="D1" s="25"/>
      <c r="E1" s="25"/>
      <c r="F1" s="25"/>
      <c r="G1" s="25"/>
    </row>
    <row r="2" customFormat="false" ht="19.5" hidden="false" customHeight="true" outlineLevel="0" collapsed="false">
      <c r="A2" s="10" t="s">
        <v>169</v>
      </c>
      <c r="B2" s="10"/>
      <c r="C2" s="10"/>
      <c r="D2" s="10"/>
      <c r="E2" s="10"/>
      <c r="F2" s="10"/>
      <c r="G2" s="10"/>
    </row>
    <row r="3" customFormat="false" ht="30" hidden="false" customHeight="true" outlineLevel="0" collapsed="false">
      <c r="A3" s="11" t="s">
        <v>23</v>
      </c>
      <c r="B3" s="11" t="s">
        <v>24</v>
      </c>
      <c r="C3" s="11" t="s">
        <v>25</v>
      </c>
      <c r="D3" s="11" t="s">
        <v>170</v>
      </c>
      <c r="E3" s="11" t="s">
        <v>171</v>
      </c>
      <c r="F3" s="11" t="s">
        <v>172</v>
      </c>
      <c r="G3" s="11" t="s">
        <v>173</v>
      </c>
    </row>
    <row r="4" customFormat="false" ht="51.75" hidden="false" customHeight="true" outlineLevel="0" collapsed="false">
      <c r="A4" s="12" t="s">
        <v>35</v>
      </c>
      <c r="B4" s="41" t="s">
        <v>36</v>
      </c>
      <c r="C4" s="14" t="s">
        <v>37</v>
      </c>
      <c r="D4" s="14" t="s">
        <v>174</v>
      </c>
      <c r="E4" s="42" t="s">
        <v>175</v>
      </c>
      <c r="F4" s="43" t="s">
        <v>176</v>
      </c>
      <c r="G4" s="14" t="s">
        <v>177</v>
      </c>
    </row>
    <row r="5" customFormat="false" ht="51.75" hidden="false" customHeight="true" outlineLevel="0" collapsed="false">
      <c r="A5" s="12" t="s">
        <v>44</v>
      </c>
      <c r="B5" s="41" t="s">
        <v>36</v>
      </c>
      <c r="C5" s="18" t="s">
        <v>154</v>
      </c>
      <c r="D5" s="18" t="s">
        <v>174</v>
      </c>
      <c r="E5" s="44" t="s">
        <v>175</v>
      </c>
      <c r="F5" s="43" t="s">
        <v>176</v>
      </c>
      <c r="G5" s="18" t="s">
        <v>178</v>
      </c>
    </row>
    <row r="6" customFormat="false" ht="51.75" hidden="false" customHeight="true" outlineLevel="0" collapsed="false">
      <c r="A6" s="12" t="s">
        <v>51</v>
      </c>
      <c r="B6" s="41" t="s">
        <v>36</v>
      </c>
      <c r="C6" s="14" t="s">
        <v>52</v>
      </c>
      <c r="D6" s="14" t="s">
        <v>179</v>
      </c>
      <c r="E6" s="42" t="s">
        <v>180</v>
      </c>
      <c r="F6" s="45" t="s">
        <v>181</v>
      </c>
      <c r="G6" s="14" t="s">
        <v>182</v>
      </c>
    </row>
    <row r="7" customFormat="false" ht="51.75" hidden="false" customHeight="true" outlineLevel="0" collapsed="false">
      <c r="A7" s="12" t="s">
        <v>58</v>
      </c>
      <c r="B7" s="46" t="s">
        <v>59</v>
      </c>
      <c r="C7" s="18" t="s">
        <v>60</v>
      </c>
      <c r="D7" s="18" t="s">
        <v>183</v>
      </c>
      <c r="E7" s="44" t="s">
        <v>184</v>
      </c>
      <c r="F7" s="43" t="s">
        <v>176</v>
      </c>
      <c r="G7" s="18" t="s">
        <v>185</v>
      </c>
    </row>
    <row r="8" customFormat="false" ht="51.75" hidden="false" customHeight="true" outlineLevel="0" collapsed="false">
      <c r="A8" s="12" t="s">
        <v>66</v>
      </c>
      <c r="B8" s="46" t="s">
        <v>59</v>
      </c>
      <c r="C8" s="14" t="s">
        <v>156</v>
      </c>
      <c r="D8" s="14" t="s">
        <v>186</v>
      </c>
      <c r="E8" s="42" t="s">
        <v>187</v>
      </c>
      <c r="F8" s="43" t="s">
        <v>176</v>
      </c>
      <c r="G8" s="14" t="s">
        <v>188</v>
      </c>
    </row>
    <row r="9" customFormat="false" ht="51.75" hidden="false" customHeight="true" outlineLevel="0" collapsed="false">
      <c r="A9" s="12" t="s">
        <v>73</v>
      </c>
      <c r="B9" s="46" t="s">
        <v>59</v>
      </c>
      <c r="C9" s="18" t="s">
        <v>162</v>
      </c>
      <c r="D9" s="18" t="s">
        <v>189</v>
      </c>
      <c r="E9" s="44" t="s">
        <v>190</v>
      </c>
      <c r="F9" s="46" t="s">
        <v>191</v>
      </c>
      <c r="G9" s="18" t="s">
        <v>192</v>
      </c>
    </row>
    <row r="10" customFormat="false" ht="51.75" hidden="false" customHeight="true" outlineLevel="0" collapsed="false">
      <c r="A10" s="12" t="s">
        <v>80</v>
      </c>
      <c r="B10" s="45" t="s">
        <v>81</v>
      </c>
      <c r="C10" s="14" t="s">
        <v>193</v>
      </c>
      <c r="D10" s="14" t="s">
        <v>194</v>
      </c>
      <c r="E10" s="42" t="s">
        <v>195</v>
      </c>
      <c r="F10" s="46" t="s">
        <v>191</v>
      </c>
      <c r="G10" s="14" t="s">
        <v>196</v>
      </c>
    </row>
    <row r="11" customFormat="false" ht="51.75" hidden="false" customHeight="true" outlineLevel="0" collapsed="false">
      <c r="A11" s="12" t="s">
        <v>88</v>
      </c>
      <c r="B11" s="45" t="s">
        <v>81</v>
      </c>
      <c r="C11" s="18" t="s">
        <v>153</v>
      </c>
      <c r="D11" s="18" t="s">
        <v>197</v>
      </c>
      <c r="E11" s="44" t="s">
        <v>198</v>
      </c>
      <c r="F11" s="45" t="s">
        <v>181</v>
      </c>
      <c r="G11" s="18" t="s">
        <v>199</v>
      </c>
    </row>
    <row r="12" customFormat="false" ht="51.75" hidden="false" customHeight="true" outlineLevel="0" collapsed="false">
      <c r="A12" s="12" t="s">
        <v>95</v>
      </c>
      <c r="B12" s="47" t="s">
        <v>96</v>
      </c>
      <c r="C12" s="14" t="s">
        <v>163</v>
      </c>
      <c r="D12" s="14" t="s">
        <v>200</v>
      </c>
      <c r="E12" s="42" t="s">
        <v>201</v>
      </c>
      <c r="F12" s="45" t="s">
        <v>181</v>
      </c>
      <c r="G12" s="14" t="s">
        <v>202</v>
      </c>
    </row>
    <row r="13" customFormat="false" ht="51.75" hidden="false" customHeight="true" outlineLevel="0" collapsed="false">
      <c r="A13" s="12" t="s">
        <v>103</v>
      </c>
      <c r="B13" s="47" t="s">
        <v>96</v>
      </c>
      <c r="C13" s="18" t="s">
        <v>164</v>
      </c>
      <c r="D13" s="18" t="s">
        <v>203</v>
      </c>
      <c r="E13" s="44" t="s">
        <v>204</v>
      </c>
      <c r="F13" s="43" t="s">
        <v>176</v>
      </c>
      <c r="G13" s="18" t="s">
        <v>205</v>
      </c>
    </row>
    <row r="14" customFormat="false" ht="51.75" hidden="false" customHeight="true" outlineLevel="0" collapsed="false">
      <c r="A14" s="12" t="s">
        <v>111</v>
      </c>
      <c r="B14" s="48" t="s">
        <v>112</v>
      </c>
      <c r="C14" s="14" t="s">
        <v>159</v>
      </c>
      <c r="D14" s="14" t="s">
        <v>206</v>
      </c>
      <c r="E14" s="42" t="s">
        <v>207</v>
      </c>
      <c r="F14" s="43" t="s">
        <v>176</v>
      </c>
      <c r="G14" s="14" t="s">
        <v>208</v>
      </c>
    </row>
    <row r="15" customFormat="false" ht="51.75" hidden="false" customHeight="true" outlineLevel="0" collapsed="false">
      <c r="A15" s="12" t="s">
        <v>119</v>
      </c>
      <c r="B15" s="48" t="s">
        <v>112</v>
      </c>
      <c r="C15" s="18" t="s">
        <v>165</v>
      </c>
      <c r="D15" s="18" t="s">
        <v>209</v>
      </c>
      <c r="E15" s="44" t="s">
        <v>210</v>
      </c>
      <c r="F15" s="46" t="s">
        <v>191</v>
      </c>
      <c r="G15" s="18" t="s">
        <v>211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1" width="14"/>
  </cols>
  <sheetData>
    <row r="1" customFormat="false" ht="37.5" hidden="false" customHeight="true" outlineLevel="0" collapsed="false">
      <c r="A1" s="49" t="s">
        <v>212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customFormat="false" ht="21.75" hidden="false" customHeight="true" outlineLevel="0" collapsed="false">
      <c r="A2" s="50" t="s">
        <v>213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</row>
    <row r="3" customFormat="false" ht="19.5" hidden="false" customHeight="true" outlineLevel="0" collapsed="false"/>
    <row r="4" customFormat="false" ht="21.75" hidden="false" customHeight="true" outlineLevel="0" collapsed="false">
      <c r="B4" s="51" t="s">
        <v>214</v>
      </c>
      <c r="C4" s="51"/>
      <c r="D4" s="52" t="s">
        <v>127</v>
      </c>
      <c r="E4" s="52"/>
      <c r="F4" s="53" t="s">
        <v>129</v>
      </c>
      <c r="G4" s="53"/>
      <c r="H4" s="54" t="s">
        <v>131</v>
      </c>
      <c r="I4" s="54"/>
      <c r="J4" s="55" t="s">
        <v>133</v>
      </c>
      <c r="K4" s="55"/>
      <c r="L4" s="56" t="s">
        <v>215</v>
      </c>
      <c r="M4" s="56"/>
    </row>
    <row r="5" customFormat="false" ht="39.75" hidden="false" customHeight="true" outlineLevel="0" collapsed="false">
      <c r="B5" s="57" t="n">
        <v>12</v>
      </c>
      <c r="C5" s="57"/>
      <c r="D5" s="58" t="n">
        <v>3</v>
      </c>
      <c r="E5" s="58"/>
      <c r="F5" s="59" t="n">
        <v>4</v>
      </c>
      <c r="G5" s="59"/>
      <c r="H5" s="60" t="n">
        <v>4</v>
      </c>
      <c r="I5" s="60"/>
      <c r="J5" s="61" t="n">
        <v>1</v>
      </c>
      <c r="K5" s="61"/>
      <c r="L5" s="62" t="n">
        <v>12</v>
      </c>
      <c r="M5" s="62"/>
    </row>
    <row r="6" customFormat="false" ht="7.5" hidden="false" customHeight="true" outlineLevel="0" collapsed="false">
      <c r="B6" s="63"/>
      <c r="C6" s="63"/>
      <c r="D6" s="64"/>
      <c r="E6" s="64"/>
      <c r="F6" s="65"/>
      <c r="G6" s="65"/>
      <c r="H6" s="66"/>
      <c r="I6" s="66"/>
      <c r="J6" s="67"/>
      <c r="K6" s="67"/>
      <c r="L6" s="68"/>
      <c r="M6" s="68"/>
    </row>
    <row r="7" customFormat="false" ht="19.5" hidden="false" customHeight="true" outlineLevel="0" collapsed="false"/>
    <row r="8" customFormat="false" ht="19.5" hidden="false" customHeight="true" outlineLevel="0" collapsed="false"/>
    <row r="9" customFormat="false" ht="24" hidden="false" customHeight="true" outlineLevel="0" collapsed="false">
      <c r="B9" s="69" t="s">
        <v>216</v>
      </c>
      <c r="C9" s="69"/>
      <c r="D9" s="69"/>
      <c r="E9" s="69"/>
      <c r="F9" s="69"/>
      <c r="H9" s="69" t="s">
        <v>217</v>
      </c>
      <c r="I9" s="69"/>
      <c r="J9" s="69"/>
      <c r="K9" s="69"/>
      <c r="L9" s="69"/>
    </row>
    <row r="10" customFormat="false" ht="21.75" hidden="false" customHeight="true" outlineLevel="0" collapsed="false">
      <c r="B10" s="36" t="s">
        <v>24</v>
      </c>
      <c r="C10" s="36" t="s">
        <v>40</v>
      </c>
      <c r="D10" s="36" t="s">
        <v>48</v>
      </c>
      <c r="E10" s="36" t="s">
        <v>107</v>
      </c>
      <c r="F10" s="36" t="s">
        <v>166</v>
      </c>
      <c r="G10" s="36" t="s">
        <v>218</v>
      </c>
      <c r="H10" s="36" t="s">
        <v>219</v>
      </c>
      <c r="I10" s="36" t="s">
        <v>220</v>
      </c>
      <c r="J10" s="36" t="s">
        <v>221</v>
      </c>
      <c r="K10" s="36" t="s">
        <v>222</v>
      </c>
    </row>
    <row r="11" customFormat="false" ht="21.75" hidden="false" customHeight="true" outlineLevel="0" collapsed="false">
      <c r="B11" s="70" t="s">
        <v>36</v>
      </c>
      <c r="C11" s="27" t="n">
        <v>1</v>
      </c>
      <c r="D11" s="27" t="n">
        <v>1</v>
      </c>
      <c r="E11" s="27" t="n">
        <v>1</v>
      </c>
      <c r="F11" s="27" t="n">
        <v>0</v>
      </c>
      <c r="G11" s="27" t="n">
        <f aca="false">C11+D11+E11+F11</f>
        <v>3</v>
      </c>
      <c r="H11" s="71" t="s">
        <v>223</v>
      </c>
      <c r="I11" s="27" t="s">
        <v>224</v>
      </c>
      <c r="J11" s="27" t="n">
        <v>3</v>
      </c>
      <c r="K11" s="27" t="s">
        <v>225</v>
      </c>
    </row>
    <row r="12" customFormat="false" ht="21.75" hidden="false" customHeight="true" outlineLevel="0" collapsed="false">
      <c r="B12" s="72" t="s">
        <v>59</v>
      </c>
      <c r="C12" s="73" t="n">
        <v>1</v>
      </c>
      <c r="D12" s="73" t="n">
        <v>1</v>
      </c>
      <c r="E12" s="73" t="n">
        <v>1</v>
      </c>
      <c r="F12" s="73" t="n">
        <v>0</v>
      </c>
      <c r="G12" s="73" t="n">
        <f aca="false">C12+D12+E12+F12</f>
        <v>3</v>
      </c>
      <c r="H12" s="74" t="s">
        <v>226</v>
      </c>
      <c r="I12" s="73" t="s">
        <v>227</v>
      </c>
      <c r="J12" s="73" t="n">
        <v>4</v>
      </c>
      <c r="K12" s="73" t="s">
        <v>225</v>
      </c>
    </row>
    <row r="13" customFormat="false" ht="21.75" hidden="false" customHeight="true" outlineLevel="0" collapsed="false">
      <c r="B13" s="70" t="s">
        <v>81</v>
      </c>
      <c r="C13" s="27" t="n">
        <v>1</v>
      </c>
      <c r="D13" s="27" t="n">
        <v>1</v>
      </c>
      <c r="E13" s="27" t="n">
        <v>0</v>
      </c>
      <c r="F13" s="27" t="n">
        <v>0</v>
      </c>
      <c r="G13" s="27" t="n">
        <f aca="false">C13+D13+E13+F13</f>
        <v>2</v>
      </c>
      <c r="H13" s="75" t="s">
        <v>228</v>
      </c>
      <c r="I13" s="27" t="s">
        <v>229</v>
      </c>
      <c r="J13" s="27" t="n">
        <v>4</v>
      </c>
      <c r="K13" s="27" t="s">
        <v>230</v>
      </c>
    </row>
    <row r="14" customFormat="false" ht="21.75" hidden="false" customHeight="true" outlineLevel="0" collapsed="false">
      <c r="B14" s="72" t="s">
        <v>96</v>
      </c>
      <c r="C14" s="73" t="n">
        <v>0</v>
      </c>
      <c r="D14" s="73" t="n">
        <v>0</v>
      </c>
      <c r="E14" s="73" t="n">
        <v>2</v>
      </c>
      <c r="F14" s="73" t="n">
        <v>0</v>
      </c>
      <c r="G14" s="73" t="n">
        <f aca="false">C14+D14+E14+F14</f>
        <v>2</v>
      </c>
      <c r="H14" s="76" t="s">
        <v>231</v>
      </c>
      <c r="I14" s="73" t="s">
        <v>232</v>
      </c>
      <c r="J14" s="73" t="n">
        <v>1</v>
      </c>
      <c r="K14" s="73" t="s">
        <v>233</v>
      </c>
    </row>
    <row r="15" customFormat="false" ht="21.75" hidden="false" customHeight="true" outlineLevel="0" collapsed="false">
      <c r="B15" s="70" t="s">
        <v>234</v>
      </c>
      <c r="C15" s="27" t="n">
        <v>0</v>
      </c>
      <c r="D15" s="27" t="n">
        <v>1</v>
      </c>
      <c r="E15" s="27" t="n">
        <v>0</v>
      </c>
      <c r="F15" s="27" t="n">
        <v>1</v>
      </c>
      <c r="G15" s="27" t="n">
        <f aca="false">C15+D15+E15+F15</f>
        <v>2</v>
      </c>
    </row>
    <row r="16" customFormat="false" ht="21.75" hidden="false" customHeight="true" outlineLevel="0" collapsed="false">
      <c r="B16" s="36" t="s">
        <v>235</v>
      </c>
      <c r="C16" s="36" t="n">
        <f aca="false">SUM(C11:C15)</f>
        <v>3</v>
      </c>
      <c r="D16" s="36" t="n">
        <f aca="false">SUM(D11:D15)</f>
        <v>4</v>
      </c>
      <c r="E16" s="36" t="n">
        <f aca="false">SUM(E11:E15)</f>
        <v>4</v>
      </c>
      <c r="F16" s="36" t="n">
        <f aca="false">SUM(F11:F15)</f>
        <v>1</v>
      </c>
      <c r="G16" s="36" t="n">
        <f aca="false">SUM(G11:G15)</f>
        <v>12</v>
      </c>
    </row>
    <row r="17" customFormat="false" ht="19.5" hidden="false" customHeight="true" outlineLevel="0" collapsed="false"/>
    <row r="18" customFormat="false" ht="19.5" hidden="false" customHeight="true" outlineLevel="0" collapsed="false"/>
    <row r="19" customFormat="false" ht="19.5" hidden="false" customHeight="true" outlineLevel="0" collapsed="false"/>
    <row r="20" customFormat="false" ht="19.5" hidden="false" customHeight="true" outlineLevel="0" collapsed="false">
      <c r="B20" s="1" t="s">
        <v>31</v>
      </c>
      <c r="C20" s="1" t="s">
        <v>236</v>
      </c>
    </row>
    <row r="21" customFormat="false" ht="19.5" hidden="false" customHeight="true" outlineLevel="0" collapsed="false">
      <c r="B21" s="1" t="s">
        <v>40</v>
      </c>
      <c r="C21" s="1" t="n">
        <v>3</v>
      </c>
    </row>
    <row r="22" customFormat="false" ht="19.5" hidden="false" customHeight="true" outlineLevel="0" collapsed="false">
      <c r="B22" s="1" t="s">
        <v>48</v>
      </c>
      <c r="C22" s="1" t="n">
        <v>4</v>
      </c>
    </row>
    <row r="23" customFormat="false" ht="19.5" hidden="false" customHeight="true" outlineLevel="0" collapsed="false">
      <c r="B23" s="1" t="s">
        <v>107</v>
      </c>
      <c r="C23" s="1" t="n">
        <v>4</v>
      </c>
    </row>
    <row r="24" customFormat="false" ht="19.5" hidden="false" customHeight="true" outlineLevel="0" collapsed="false">
      <c r="B24" s="1" t="s">
        <v>166</v>
      </c>
      <c r="C24" s="1" t="n">
        <v>1</v>
      </c>
    </row>
    <row r="25" customFormat="false" ht="19.5" hidden="false" customHeight="true" outlineLevel="0" collapsed="false"/>
    <row r="26" customFormat="false" ht="19.5" hidden="false" customHeight="true" outlineLevel="0" collapsed="false"/>
    <row r="27" customFormat="false" ht="19.5" hidden="false" customHeight="true" outlineLevel="0" collapsed="false"/>
    <row r="28" customFormat="false" ht="19.5" hidden="false" customHeight="true" outlineLevel="0" collapsed="false"/>
    <row r="29" customFormat="false" ht="19.5" hidden="false" customHeight="true" outlineLevel="0" collapsed="false"/>
    <row r="30" customFormat="false" ht="19.5" hidden="false" customHeight="true" outlineLevel="0" collapsed="false"/>
    <row r="31" customFormat="false" ht="19.5" hidden="false" customHeight="true" outlineLevel="0" collapsed="false"/>
    <row r="32" customFormat="false" ht="19.5" hidden="false" customHeight="true" outlineLevel="0" collapsed="false"/>
    <row r="33" customFormat="false" ht="19.5" hidden="false" customHeight="true" outlineLevel="0" collapsed="false"/>
    <row r="34" customFormat="false" ht="19.5" hidden="false" customHeight="true" outlineLevel="0" collapsed="false"/>
    <row r="35" customFormat="false" ht="19.5" hidden="false" customHeight="true" outlineLevel="0" collapsed="false"/>
    <row r="36" customFormat="false" ht="19.5" hidden="false" customHeight="true" outlineLevel="0" collapsed="false"/>
    <row r="37" customFormat="false" ht="19.5" hidden="false" customHeight="true" outlineLevel="0" collapsed="false"/>
    <row r="38" customFormat="false" ht="19.5" hidden="false" customHeight="true" outlineLevel="0" collapsed="false"/>
    <row r="39" customFormat="false" ht="19.5" hidden="false" customHeight="true" outlineLevel="0" collapsed="false"/>
    <row r="40" customFormat="false" ht="19.5" hidden="false" customHeight="true" outlineLevel="0" collapsed="false"/>
    <row r="41" customFormat="false" ht="19.5" hidden="false" customHeight="true" outlineLevel="0" collapsed="false"/>
    <row r="42" customFormat="false" ht="19.5" hidden="false" customHeight="true" outlineLevel="0" collapsed="false"/>
    <row r="43" customFormat="false" ht="19.5" hidden="false" customHeight="true" outlineLevel="0" collapsed="false"/>
    <row r="44" customFormat="false" ht="19.5" hidden="false" customHeight="true" outlineLevel="0" collapsed="false"/>
    <row r="45" customFormat="false" ht="19.5" hidden="false" customHeight="true" outlineLevel="0" collapsed="false"/>
    <row r="46" customFormat="false" ht="19.5" hidden="false" customHeight="true" outlineLevel="0" collapsed="false"/>
    <row r="47" customFormat="false" ht="19.5" hidden="false" customHeight="true" outlineLevel="0" collapsed="false"/>
    <row r="48" customFormat="false" ht="19.5" hidden="false" customHeight="true" outlineLevel="0" collapsed="false"/>
    <row r="49" customFormat="false" ht="19.5" hidden="false" customHeight="true" outlineLevel="0" collapsed="false"/>
    <row r="50" customFormat="false" ht="19.5" hidden="false" customHeight="true" outlineLevel="0" collapsed="false"/>
    <row r="51" customFormat="false" ht="19.5" hidden="false" customHeight="true" outlineLevel="0" collapsed="false"/>
    <row r="52" customFormat="false" ht="19.5" hidden="false" customHeight="true" outlineLevel="0" collapsed="false"/>
    <row r="53" customFormat="false" ht="19.5" hidden="false" customHeight="true" outlineLevel="0" collapsed="false"/>
    <row r="54" customFormat="false" ht="19.5" hidden="false" customHeight="true" outlineLevel="0" collapsed="false"/>
  </sheetData>
  <mergeCells count="22">
    <mergeCell ref="A1:L1"/>
    <mergeCell ref="A2:L2"/>
    <mergeCell ref="B4:C4"/>
    <mergeCell ref="D4:E4"/>
    <mergeCell ref="F4:G4"/>
    <mergeCell ref="H4:I4"/>
    <mergeCell ref="J4:K4"/>
    <mergeCell ref="L4:M4"/>
    <mergeCell ref="B5:C5"/>
    <mergeCell ref="D5:E5"/>
    <mergeCell ref="F5:G5"/>
    <mergeCell ref="H5:I5"/>
    <mergeCell ref="J5:K5"/>
    <mergeCell ref="L5:M5"/>
    <mergeCell ref="B6:C6"/>
    <mergeCell ref="D6:E6"/>
    <mergeCell ref="F6:G6"/>
    <mergeCell ref="H6:I6"/>
    <mergeCell ref="J6:K6"/>
    <mergeCell ref="L6:M6"/>
    <mergeCell ref="B9:F9"/>
    <mergeCell ref="H9:L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00"/>
  </cols>
  <sheetData>
    <row r="1" customFormat="false" ht="15" hidden="false" customHeight="true" outlineLevel="0" collapsed="false">
      <c r="A1" s="77" t="s">
        <v>237</v>
      </c>
      <c r="B1" s="77" t="s">
        <v>238</v>
      </c>
    </row>
    <row r="2" customFormat="false" ht="15" hidden="false" customHeight="true" outlineLevel="0" collapsed="false">
      <c r="A2" s="1" t="s">
        <v>239</v>
      </c>
      <c r="B2" s="1" t="s">
        <v>240</v>
      </c>
    </row>
    <row r="3" customFormat="false" ht="15" hidden="false" customHeight="true" outlineLevel="0" collapsed="false">
      <c r="A3" s="1" t="s">
        <v>241</v>
      </c>
      <c r="B3" s="1" t="s">
        <v>242</v>
      </c>
    </row>
    <row r="4" customFormat="false" ht="15" hidden="false" customHeight="true" outlineLevel="0" collapsed="false">
      <c r="A4" s="1" t="s">
        <v>243</v>
      </c>
      <c r="B4" s="1" t="s">
        <v>244</v>
      </c>
    </row>
    <row r="5" customFormat="false" ht="15" hidden="false" customHeight="true" outlineLevel="0" collapsed="false">
      <c r="A5" s="1" t="s">
        <v>245</v>
      </c>
      <c r="B5" s="1" t="s">
        <v>246</v>
      </c>
    </row>
    <row r="6" customFormat="false" ht="15" hidden="false" customHeight="true" outlineLevel="0" collapsed="false">
      <c r="A6" s="1" t="s">
        <v>247</v>
      </c>
      <c r="B6" s="1" t="s">
        <v>248</v>
      </c>
    </row>
    <row r="7" customFormat="false" ht="15" hidden="false" customHeight="true" outlineLevel="0" collapsed="false">
      <c r="A7" s="1" t="s">
        <v>249</v>
      </c>
      <c r="B7" s="1" t="s">
        <v>250</v>
      </c>
    </row>
    <row r="8" customFormat="false" ht="15" hidden="false" customHeight="true" outlineLevel="0" collapsed="false">
      <c r="A8" s="1" t="s">
        <v>251</v>
      </c>
      <c r="B8" s="1" t="s">
        <v>252</v>
      </c>
    </row>
    <row r="9" customFormat="false" ht="15" hidden="false" customHeight="true" outlineLevel="0" collapsed="false">
      <c r="A9" s="1" t="s">
        <v>253</v>
      </c>
      <c r="B9" s="1" t="s">
        <v>254</v>
      </c>
    </row>
    <row r="10" customFormat="false" ht="15" hidden="false" customHeight="true" outlineLevel="0" collapsed="false">
      <c r="A10" s="1" t="s">
        <v>255</v>
      </c>
      <c r="B10" s="1" t="s">
        <v>256</v>
      </c>
    </row>
    <row r="11" customFormat="false" ht="15" hidden="false" customHeight="true" outlineLevel="0" collapsed="false">
      <c r="A11" s="1" t="s">
        <v>257</v>
      </c>
      <c r="B11" s="1" t="s">
        <v>258</v>
      </c>
    </row>
    <row r="12" customFormat="false" ht="15" hidden="false" customHeight="true" outlineLevel="0" collapsed="false">
      <c r="A12" s="1" t="s">
        <v>259</v>
      </c>
      <c r="B12" s="1" t="s">
        <v>260</v>
      </c>
    </row>
    <row r="13" customFormat="false" ht="15" hidden="false" customHeight="true" outlineLevel="0" collapsed="false">
      <c r="A13" s="1" t="s">
        <v>261</v>
      </c>
      <c r="B13" s="1" t="s">
        <v>262</v>
      </c>
    </row>
    <row r="14" customFormat="false" ht="15" hidden="false" customHeight="true" outlineLevel="0" collapsed="false">
      <c r="A14" s="1" t="s">
        <v>34</v>
      </c>
      <c r="B14" s="1" t="s">
        <v>263</v>
      </c>
    </row>
  </sheetData>
  <autoFilter ref="A1:B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2026-05-07T07:17:06Z</dcterms:created>
  <dc:creator>openpyxl</dc:creator>
  <dc:description/>
  <dc:language>en-US</dc:language>
  <cp:lastModifiedBy/>
  <dcterms:modified xsi:type="dcterms:W3CDTF">2026-08-21T07:55:46Z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